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d4620e379242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w Data" sheetId="1" r:id="R176ac87acd0f4596"/>
    <x:sheet xmlns:r="http://schemas.openxmlformats.org/officeDocument/2006/relationships" name="Coefficients" sheetId="2" r:id="Rf2091337663e4e44"/>
    <x:sheet xmlns:r="http://schemas.openxmlformats.org/officeDocument/2006/relationships" name="Validation" sheetId="3" r:id="Rc8ae2a9ff0c64de5"/>
    <x:sheet xmlns:r="http://schemas.openxmlformats.org/officeDocument/2006/relationships" name="Notes" sheetId="4" r:id="R739959f6d18145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"/>
    <x:numFmt numFmtId="201" formatCode="0"/>
    <x:numFmt numFmtId="202" formatCode="@"/>
    <x:numFmt numFmtId="203" formatCode="0.000000"/>
    <x:numFmt numFmtId="204" formatCode="0.000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D9EAF7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2" fontId="1" fillId="2" borderId="0" xfId="0" applyNumberFormat="1" applyFont="1" applyFill="1" applyBorder="1" applyAlignment="1">
      <x:alignment horizontal="center" vertical="center" wrapText="1"/>
    </x:xf>
    <x:xf numFmtId="202" fontId="1" fillId="2" borderId="1" xfId="0" applyNumberFormat="1" applyFont="1" applyFill="1" applyBorder="1" applyAlignment="1">
      <x:alignment horizontal="center" vertical="center" wrapText="1"/>
    </x:xf>
    <x:xf numFmtId="203" fontId="1" fillId="2" borderId="0" xfId="0" applyNumberFormat="1" applyFont="1" applyFill="1" applyBorder="1" applyAlignment="1">
      <x:alignment horizontal="center" vertical="center" wrapText="1"/>
    </x:xf>
    <x:xf numFmtId="203" fontId="1" fillId="2" borderId="1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991B1B"/>
      </x:font>
      <x:fill>
        <x:patternFill patternType="solid">
          <x:bgColor rgb="FECACA"/>
        </x:patternFill>
      </x:fill>
    </x:dxf>
    <x:dxf>
      <x:font>
        <x:b/>
        <x:color rgb="166534"/>
      </x:font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90da5f5a164c21" /><Relationship Type="http://schemas.openxmlformats.org/officeDocument/2006/relationships/theme" Target="/xl/theme/theme1.xml" Id="Ra7d069d7b4784a06" /><Relationship Type="http://schemas.openxmlformats.org/officeDocument/2006/relationships/sharedStrings" Target="/xl/sharedStrings.xml" Id="R6106d819aa42482e" /><Relationship Type="http://schemas.openxmlformats.org/officeDocument/2006/relationships/worksheet" Target="/xl/worksheets/sheet1.xml" Id="R176ac87acd0f4596" /><Relationship Type="http://schemas.openxmlformats.org/officeDocument/2006/relationships/worksheet" Target="/xl/worksheets/sheet2.xml" Id="Rf2091337663e4e44" /><Relationship Type="http://schemas.openxmlformats.org/officeDocument/2006/relationships/worksheet" Target="/xl/worksheets/sheet3.xml" Id="Rc8ae2a9ff0c64de5" /><Relationship Type="http://schemas.openxmlformats.org/officeDocument/2006/relationships/worksheet" Target="/xl/worksheets/sheet4.xml" Id="R739959f6d18145cc" /></Relationships>
</file>

<file path=xl/tables/table1.xml><?xml version="1.0" encoding="utf-8"?>
<x:table xmlns:x="http://schemas.openxmlformats.org/spreadsheetml/2006/main" id="1" name="RawKdpData" displayName="RawKdpData" ref="A1:AG15" headerRowCount="1">
  <x:tableColumns count="33">
    <x:tableColumn id="1" name="ID"/>
    <x:tableColumn id="2" name="Screenshot"/>
    <x:tableColumn id="3" name="Binding"/>
    <x:tableColumn id="4" name="Interior Type"/>
    <x:tableColumn id="5" name="Paper"/>
    <x:tableColumn id="6" name="Reading Direction"/>
    <x:tableColumn id="7" name="Units"/>
    <x:tableColumn id="8" name="Trim W"/>
    <x:tableColumn id="9" name="Trim H"/>
    <x:tableColumn id="10" name="Page Count"/>
    <x:tableColumn id="11" name="Full Cover W"/>
    <x:tableColumn id="12" name="Full Cover H"/>
    <x:tableColumn id="13" name="Front Cover W"/>
    <x:tableColumn id="14" name="Front Cover H"/>
    <x:tableColumn id="15" name="Safe Area W"/>
    <x:tableColumn id="16" name="Safe Area H"/>
    <x:tableColumn id="17" name="Bleed W"/>
    <x:tableColumn id="18" name="Bleed H"/>
    <x:tableColumn id="19" name="Margin W"/>
    <x:tableColumn id="20" name="Margin H"/>
    <x:tableColumn id="21" name="Wrap W"/>
    <x:tableColumn id="22" name="Wrap H"/>
    <x:tableColumn id="23" name="Hinge W"/>
    <x:tableColumn id="24" name="Hinge H"/>
    <x:tableColumn id="25" name="Spine W"/>
    <x:tableColumn id="26" name="Spine H"/>
    <x:tableColumn id="27" name="Spine Safe W"/>
    <x:tableColumn id="28" name="Spine Safe H"/>
    <x:tableColumn id="29" name="Spine Margin W"/>
    <x:tableColumn id="30" name="Spine Margin H"/>
    <x:tableColumn id="31" name="Barcode Margin W"/>
    <x:tableColumn id="32" name="Barcode Margin H"/>
    <x:tableColumn id="33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aperThickness" displayName="PaperThickness" ref="A1:E5" headerRowCount="1">
  <x:tableColumns count="5">
    <x:tableColumn id="1" name="Key"/>
    <x:tableColumn id="2" name="Interior Type"/>
    <x:tableColumn id="3" name="Paper"/>
    <x:tableColumn id="4" name="Thickness in/page"/>
    <x:tableColumn id="5" name="Source/Status"/>
  </x:tableColumns>
  <x:tableStyleInfo name="TableStyleMedium2" showRowStripes="1"/>
</x:table>
</file>

<file path=xl/tables/table3.xml><?xml version="1.0" encoding="utf-8"?>
<x:table xmlns:x="http://schemas.openxmlformats.org/spreadsheetml/2006/main" id="3" name="ValidationTable" displayName="ValidationTable" ref="A1:Q15" headerRowCount="1">
  <x:tableColumns count="17">
    <x:tableColumn id="1" name="ID"/>
    <x:tableColumn id="2" name="Binding"/>
    <x:tableColumn id="3" name="Interior Type"/>
    <x:tableColumn id="4" name="Paper"/>
    <x:tableColumn id="5" name="Trim W"/>
    <x:tableColumn id="6" name="Trim H"/>
    <x:tableColumn id="7" name="Pages"/>
    <x:tableColumn id="8" name="KDP Full W"/>
    <x:tableColumn id="9" name="Calc Full W"/>
    <x:tableColumn id="10" name="Full W Δ"/>
    <x:tableColumn id="11" name="KDP Full H"/>
    <x:tableColumn id="12" name="Calc Full H"/>
    <x:tableColumn id="13" name="Full H Δ"/>
    <x:tableColumn id="14" name="KDP Spine W"/>
    <x:tableColumn id="15" name="Calc Spine W"/>
    <x:tableColumn id="16" name="Spine Δ"/>
    <x:tableColumn id="17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f08ddff4d9244d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cf1588c752247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865a68927d840b1" /></Relationships>
</file>

<file path=xl/worksheets/sheet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12" hidden="0" customWidth="1"/>
    <x:col min="32" max="32" width="12" hidden="0" customWidth="1"/>
    <x:col min="33" max="33" width="42" hidden="0" customWidth="1"/>
  </x:cols>
  <x:sheetData>
    <x:row r="1">
      <x:c r="A1" s="28" t="str">
        <x:v>ID</x:v>
      </x:c>
      <x:c r="B1" s="6" t="str">
        <x:v>Screenshot</x:v>
      </x:c>
      <x:c r="C1" s="6" t="str">
        <x:v>Binding</x:v>
      </x:c>
      <x:c r="D1" s="6" t="str">
        <x:v>Interior Type</x:v>
      </x:c>
      <x:c r="E1" s="6" t="str">
        <x:v>Paper</x:v>
      </x:c>
      <x:c r="F1" s="6" t="str">
        <x:v>Reading Direction</x:v>
      </x:c>
      <x:c r="G1" s="6" t="str">
        <x:v>Units</x:v>
      </x:c>
      <x:c r="H1" s="30" t="str">
        <x:v>Trim W</x:v>
      </x:c>
      <x:c r="I1" s="30" t="str">
        <x:v>Trim H</x:v>
      </x:c>
      <x:c r="J1" s="28" t="str">
        <x:v>Page Count</x:v>
      </x:c>
      <x:c r="K1" s="30" t="str">
        <x:v>Full Cover W</x:v>
      </x:c>
      <x:c r="L1" s="30" t="str">
        <x:v>Full Cover H</x:v>
      </x:c>
      <x:c r="M1" s="30" t="str">
        <x:v>Front Cover W</x:v>
      </x:c>
      <x:c r="N1" s="30" t="str">
        <x:v>Front Cover H</x:v>
      </x:c>
      <x:c r="O1" s="30" t="str">
        <x:v>Safe Area W</x:v>
      </x:c>
      <x:c r="P1" s="30" t="str">
        <x:v>Safe Area H</x:v>
      </x:c>
      <x:c r="Q1" s="30" t="str">
        <x:v>Bleed W</x:v>
      </x:c>
      <x:c r="R1" s="30" t="str">
        <x:v>Bleed H</x:v>
      </x:c>
      <x:c r="S1" s="30" t="str">
        <x:v>Margin W</x:v>
      </x:c>
      <x:c r="T1" s="30" t="str">
        <x:v>Margin H</x:v>
      </x:c>
      <x:c r="U1" s="30" t="str">
        <x:v>Wrap W</x:v>
      </x:c>
      <x:c r="V1" s="30" t="str">
        <x:v>Wrap H</x:v>
      </x:c>
      <x:c r="W1" s="30" t="str">
        <x:v>Hinge W</x:v>
      </x:c>
      <x:c r="X1" s="30" t="str">
        <x:v>Hinge H</x:v>
      </x:c>
      <x:c r="Y1" s="30" t="str">
        <x:v>Spine W</x:v>
      </x:c>
      <x:c r="Z1" s="30" t="str">
        <x:v>Spine H</x:v>
      </x:c>
      <x:c r="AA1" s="30" t="str">
        <x:v>Spine Safe W</x:v>
      </x:c>
      <x:c r="AB1" s="30" t="str">
        <x:v>Spine Safe H</x:v>
      </x:c>
      <x:c r="AC1" s="30" t="str">
        <x:v>Spine Margin W</x:v>
      </x:c>
      <x:c r="AD1" s="30" t="str">
        <x:v>Spine Margin H</x:v>
      </x:c>
      <x:c r="AE1" s="30" t="str">
        <x:v>Barcode Margin W</x:v>
      </x:c>
      <x:c r="AF1" s="30" t="str">
        <x:v>Barcode Margin H</x:v>
      </x:c>
      <x:c r="AG1" s="6" t="str">
        <x:v>Notes</x:v>
      </x:c>
    </x:row>
    <x:row r="2">
      <x:c r="A2" s="14" t="n">
        <x:v>1</x:v>
      </x:c>
      <x:c r="B2" s="14" t="str">
        <x:v>image(39).png</x:v>
      </x:c>
      <x:c r="C2" s="14" t="str">
        <x:v>hardcover</x:v>
      </x:c>
      <x:c r="D2" s="14" t="str">
        <x:v>black_and_white</x:v>
      </x:c>
      <x:c r="E2" s="14" t="str">
        <x:v>white</x:v>
      </x:c>
      <x:c r="F2" s="14" t="str">
        <x:v>left_to_right</x:v>
      </x:c>
      <x:c r="G2" s="14" t="str">
        <x:v>inches</x:v>
      </x:c>
      <x:c r="H2" s="14" t="n">
        <x:v>6</x:v>
      </x:c>
      <x:c r="I2" s="14" t="n">
        <x:v>9</x:v>
      </x:c>
      <x:c r="J2" s="14" t="n">
        <x:v>76</x:v>
      </x:c>
      <x:c r="K2" s="14" t="n">
        <x:v>13.935</x:v>
      </x:c>
      <x:c r="L2" s="14" t="n">
        <x:v>10.417</x:v>
      </x:c>
      <x:c r="M2" s="14" t="n">
        <x:v>6.197</x:v>
      </x:c>
      <x:c r="N2" s="14" t="n">
        <x:v>9.236</x:v>
      </x:c>
      <x:c r="O2" s="14"/>
      <x:c r="P2" s="14"/>
      <x:c r="Q2" s="14"/>
      <x:c r="R2" s="14"/>
      <x:c r="S2" s="14" t="n">
        <x:v>0.125</x:v>
      </x:c>
      <x:c r="T2" s="14" t="n">
        <x:v>0.125</x:v>
      </x:c>
      <x:c r="U2" s="14" t="n">
        <x:v>0.591</x:v>
      </x:c>
      <x:c r="V2" s="14" t="n">
        <x:v>0.591</x:v>
      </x:c>
      <x:c r="W2" s="14" t="n">
        <x:v>0.394</x:v>
      </x:c>
      <x:c r="X2" s="14" t="n">
        <x:v>10.417</x:v>
      </x:c>
      <x:c r="Y2" s="14" t="n">
        <x:v>0.36</x:v>
      </x:c>
      <x:c r="Z2" s="14" t="n">
        <x:v>9.236</x:v>
      </x:c>
      <x:c r="AA2" s="14" t="n">
        <x:v>0.235</x:v>
      </x:c>
      <x:c r="AB2" s="14" t="n">
        <x:v>8.986</x:v>
      </x:c>
      <x:c r="AC2" s="14" t="n">
        <x:v>0.062</x:v>
      </x:c>
      <x:c r="AD2" s="14" t="n">
        <x:v>0.062</x:v>
      </x:c>
      <x:c r="AE2" s="14" t="n">
        <x:v>0.25</x:v>
      </x:c>
      <x:c r="AF2" s="14" t="n">
        <x:v>0.375</x:v>
      </x:c>
      <x:c r="AG2" s="14" t="str">
        <x:v>B&amp;W white hardcover low page count</x:v>
      </x:c>
    </x:row>
    <x:row r="3">
      <x:c r="A3" s="14" t="n">
        <x:v>2</x:v>
      </x:c>
      <x:c r="B3" s="14" t="str">
        <x:v>image(40).png</x:v>
      </x:c>
      <x:c r="C3" s="14" t="str">
        <x:v>hardcover</x:v>
      </x:c>
      <x:c r="D3" s="14" t="str">
        <x:v>black_and_white</x:v>
      </x:c>
      <x:c r="E3" s="14" t="str">
        <x:v>white</x:v>
      </x:c>
      <x:c r="F3" s="14" t="str">
        <x:v>left_to_right</x:v>
      </x:c>
      <x:c r="G3" s="14" t="str">
        <x:v>inches</x:v>
      </x:c>
      <x:c r="H3" s="14" t="n">
        <x:v>6</x:v>
      </x:c>
      <x:c r="I3" s="14" t="n">
        <x:v>9</x:v>
      </x:c>
      <x:c r="J3" s="14" t="n">
        <x:v>400</x:v>
      </x:c>
      <x:c r="K3" s="14" t="n">
        <x:v>14.665</x:v>
      </x:c>
      <x:c r="L3" s="14" t="n">
        <x:v>10.417</x:v>
      </x:c>
      <x:c r="M3" s="14" t="n">
        <x:v>6.197</x:v>
      </x:c>
      <x:c r="N3" s="14" t="n">
        <x:v>9.236</x:v>
      </x:c>
      <x:c r="O3" s="14"/>
      <x:c r="P3" s="14"/>
      <x:c r="Q3" s="14"/>
      <x:c r="R3" s="14"/>
      <x:c r="S3" s="14" t="n">
        <x:v>0.125</x:v>
      </x:c>
      <x:c r="T3" s="14" t="n">
        <x:v>0.125</x:v>
      </x:c>
      <x:c r="U3" s="14" t="n">
        <x:v>0.591</x:v>
      </x:c>
      <x:c r="V3" s="14" t="n">
        <x:v>0.591</x:v>
      </x:c>
      <x:c r="W3" s="14" t="n">
        <x:v>0.394</x:v>
      </x:c>
      <x:c r="X3" s="14" t="n">
        <x:v>10.417</x:v>
      </x:c>
      <x:c r="Y3" s="14" t="n">
        <x:v>1.09</x:v>
      </x:c>
      <x:c r="Z3" s="14" t="n">
        <x:v>9.236</x:v>
      </x:c>
      <x:c r="AA3" s="14" t="n">
        <x:v>0.965</x:v>
      </x:c>
      <x:c r="AB3" s="14" t="n">
        <x:v>8.986</x:v>
      </x:c>
      <x:c r="AC3" s="14" t="n">
        <x:v>0.062</x:v>
      </x:c>
      <x:c r="AD3" s="14" t="n">
        <x:v>0.062</x:v>
      </x:c>
      <x:c r="AE3" s="14" t="n">
        <x:v>0.25</x:v>
      </x:c>
      <x:c r="AF3" s="14" t="n">
        <x:v>0.375</x:v>
      </x:c>
      <x:c r="AG3" s="14" t="str">
        <x:v>B&amp;W white hardcover high page count</x:v>
      </x:c>
    </x:row>
    <x:row r="4">
      <x:c r="A4" s="14" t="n">
        <x:v>3</x:v>
      </x:c>
      <x:c r="B4" s="14" t="str">
        <x:v>image(41).png</x:v>
      </x:c>
      <x:c r="C4" s="14" t="str">
        <x:v>hardcover</x:v>
      </x:c>
      <x:c r="D4" s="14" t="str">
        <x:v>black_and_white</x:v>
      </x:c>
      <x:c r="E4" s="14" t="str">
        <x:v>cream</x:v>
      </x:c>
      <x:c r="F4" s="14" t="str">
        <x:v>left_to_right</x:v>
      </x:c>
      <x:c r="G4" s="14" t="str">
        <x:v>inches</x:v>
      </x:c>
      <x:c r="H4" s="14" t="n">
        <x:v>6</x:v>
      </x:c>
      <x:c r="I4" s="14" t="n">
        <x:v>9</x:v>
      </x:c>
      <x:c r="J4" s="14" t="n">
        <x:v>400</x:v>
      </x:c>
      <x:c r="K4" s="14" t="n">
        <x:v>14.764</x:v>
      </x:c>
      <x:c r="L4" s="14" t="n">
        <x:v>10.417</x:v>
      </x:c>
      <x:c r="M4" s="14" t="n">
        <x:v>6.197</x:v>
      </x:c>
      <x:c r="N4" s="14" t="n">
        <x:v>9.236</x:v>
      </x:c>
      <x:c r="O4" s="14"/>
      <x:c r="P4" s="14"/>
      <x:c r="Q4" s="14"/>
      <x:c r="R4" s="14"/>
      <x:c r="S4" s="14" t="n">
        <x:v>0.125</x:v>
      </x:c>
      <x:c r="T4" s="14" t="n">
        <x:v>0.125</x:v>
      </x:c>
      <x:c r="U4" s="14" t="n">
        <x:v>0.591</x:v>
      </x:c>
      <x:c r="V4" s="14" t="n">
        <x:v>0.591</x:v>
      </x:c>
      <x:c r="W4" s="14" t="n">
        <x:v>0.394</x:v>
      </x:c>
      <x:c r="X4" s="14" t="n">
        <x:v>10.417</x:v>
      </x:c>
      <x:c r="Y4" s="14" t="n">
        <x:v>1.189</x:v>
      </x:c>
      <x:c r="Z4" s="14" t="n">
        <x:v>9.236</x:v>
      </x:c>
      <x:c r="AA4" s="14" t="n">
        <x:v>1.064</x:v>
      </x:c>
      <x:c r="AB4" s="14" t="n">
        <x:v>8.986</x:v>
      </x:c>
      <x:c r="AC4" s="14" t="n">
        <x:v>0.062</x:v>
      </x:c>
      <x:c r="AD4" s="14" t="n">
        <x:v>0.062</x:v>
      </x:c>
      <x:c r="AE4" s="14" t="n">
        <x:v>0.25</x:v>
      </x:c>
      <x:c r="AF4" s="14" t="n">
        <x:v>0.375</x:v>
      </x:c>
      <x:c r="AG4" s="14" t="str">
        <x:v>B&amp;W cream hardcover high page count</x:v>
      </x:c>
    </x:row>
    <x:row r="5">
      <x:c r="A5" s="14" t="n">
        <x:v>4</x:v>
      </x:c>
      <x:c r="B5" s="14" t="str">
        <x:v>image(42).png</x:v>
      </x:c>
      <x:c r="C5" s="14" t="str">
        <x:v>hardcover</x:v>
      </x:c>
      <x:c r="D5" s="14" t="str">
        <x:v>black_and_white</x:v>
      </x:c>
      <x:c r="E5" s="14" t="str">
        <x:v>cream</x:v>
      </x:c>
      <x:c r="F5" s="14" t="str">
        <x:v>left_to_right</x:v>
      </x:c>
      <x:c r="G5" s="14" t="str">
        <x:v>inches</x:v>
      </x:c>
      <x:c r="H5" s="14" t="n">
        <x:v>6</x:v>
      </x:c>
      <x:c r="I5" s="14" t="n">
        <x:v>9</x:v>
      </x:c>
      <x:c r="J5" s="14" t="n">
        <x:v>76</x:v>
      </x:c>
      <x:c r="K5" s="14" t="n">
        <x:v>13.954</x:v>
      </x:c>
      <x:c r="L5" s="14" t="n">
        <x:v>10.417</x:v>
      </x:c>
      <x:c r="M5" s="14" t="n">
        <x:v>6.197</x:v>
      </x:c>
      <x:c r="N5" s="14" t="n">
        <x:v>9.236</x:v>
      </x:c>
      <x:c r="O5" s="14"/>
      <x:c r="P5" s="14"/>
      <x:c r="Q5" s="14"/>
      <x:c r="R5" s="14"/>
      <x:c r="S5" s="14" t="n">
        <x:v>0.125</x:v>
      </x:c>
      <x:c r="T5" s="14" t="n">
        <x:v>0.125</x:v>
      </x:c>
      <x:c r="U5" s="14" t="n">
        <x:v>0.591</x:v>
      </x:c>
      <x:c r="V5" s="14" t="n">
        <x:v>0.591</x:v>
      </x:c>
      <x:c r="W5" s="14" t="n">
        <x:v>0.394</x:v>
      </x:c>
      <x:c r="X5" s="14" t="n">
        <x:v>10.417</x:v>
      </x:c>
      <x:c r="Y5" s="14" t="n">
        <x:v>0.379</x:v>
      </x:c>
      <x:c r="Z5" s="14" t="n">
        <x:v>9.236</x:v>
      </x:c>
      <x:c r="AA5" s="14" t="n">
        <x:v>0.254</x:v>
      </x:c>
      <x:c r="AB5" s="14" t="n">
        <x:v>8.986</x:v>
      </x:c>
      <x:c r="AC5" s="14" t="n">
        <x:v>0.062</x:v>
      </x:c>
      <x:c r="AD5" s="14" t="n">
        <x:v>0.062</x:v>
      </x:c>
      <x:c r="AE5" s="14" t="n">
        <x:v>0.25</x:v>
      </x:c>
      <x:c r="AF5" s="14" t="n">
        <x:v>0.375</x:v>
      </x:c>
      <x:c r="AG5" s="14" t="str">
        <x:v>B&amp;W cream hardcover low page count</x:v>
      </x:c>
    </x:row>
    <x:row r="6">
      <x:c r="A6" s="14" t="n">
        <x:v>5</x:v>
      </x:c>
      <x:c r="B6" s="14" t="str">
        <x:v>image(43).png</x:v>
      </x:c>
      <x:c r="C6" s="14" t="str">
        <x:v>paperback</x:v>
      </x:c>
      <x:c r="D6" s="14" t="str">
        <x:v>black_and_white</x:v>
      </x:c>
      <x:c r="E6" s="14" t="str">
        <x:v>cream</x:v>
      </x:c>
      <x:c r="F6" s="14" t="str">
        <x:v>left_to_right</x:v>
      </x:c>
      <x:c r="G6" s="14" t="str">
        <x:v>inches</x:v>
      </x:c>
      <x:c r="H6" s="14" t="n">
        <x:v>6</x:v>
      </x:c>
      <x:c r="I6" s="14" t="n">
        <x:v>9</x:v>
      </x:c>
      <x:c r="J6" s="14" t="n">
        <x:v>76</x:v>
      </x:c>
      <x:c r="K6" s="14" t="n">
        <x:v>12.44</x:v>
      </x:c>
      <x:c r="L6" s="14" t="n">
        <x:v>9.25</x:v>
      </x:c>
      <x:c r="M6" s="14" t="n">
        <x:v>6</x:v>
      </x:c>
      <x:c r="N6" s="14" t="n">
        <x:v>9</x:v>
      </x:c>
      <x:c r="O6" s="14" t="n">
        <x:v>5.875</x:v>
      </x:c>
      <x:c r="P6" s="14" t="n">
        <x:v>8.75</x:v>
      </x:c>
      <x:c r="Q6" s="14" t="n">
        <x:v>0.125</x:v>
      </x:c>
      <x:c r="R6" s="14" t="n">
        <x:v>0.125</x:v>
      </x:c>
      <x:c r="S6" s="14" t="n">
        <x:v>0.125</x:v>
      </x:c>
      <x:c r="T6" s="14" t="n">
        <x:v>0.125</x:v>
      </x:c>
      <x:c r="U6" s="14"/>
      <x:c r="V6" s="14"/>
      <x:c r="W6" s="14"/>
      <x:c r="X6" s="14"/>
      <x:c r="Y6" s="14" t="n">
        <x:v>0.19</x:v>
      </x:c>
      <x:c r="Z6" s="14" t="n">
        <x:v>9</x:v>
      </x:c>
      <x:c r="AA6" s="14" t="n">
        <x:v>0.065</x:v>
      </x:c>
      <x:c r="AB6" s="14" t="n">
        <x:v>8.75</x:v>
      </x:c>
      <x:c r="AC6" s="14" t="n">
        <x:v>0.062</x:v>
      </x:c>
      <x:c r="AD6" s="14" t="n">
        <x:v>0.062</x:v>
      </x:c>
      <x:c r="AE6" s="14" t="n">
        <x:v>0.25</x:v>
      </x:c>
      <x:c r="AF6" s="14" t="n">
        <x:v>0.25</x:v>
      </x:c>
      <x:c r="AG6" s="14" t="str">
        <x:v>B&amp;W cream paperback low page count</x:v>
      </x:c>
    </x:row>
    <x:row r="7">
      <x:c r="A7" s="14" t="n">
        <x:v>6</x:v>
      </x:c>
      <x:c r="B7" s="14" t="str">
        <x:v>image(44).png</x:v>
      </x:c>
      <x:c r="C7" s="14" t="str">
        <x:v>paperback</x:v>
      </x:c>
      <x:c r="D7" s="14" t="str">
        <x:v>black_and_white</x:v>
      </x:c>
      <x:c r="E7" s="14" t="str">
        <x:v>cream</x:v>
      </x:c>
      <x:c r="F7" s="14" t="str">
        <x:v>left_to_right</x:v>
      </x:c>
      <x:c r="G7" s="14" t="str">
        <x:v>inches</x:v>
      </x:c>
      <x:c r="H7" s="14" t="n">
        <x:v>6</x:v>
      </x:c>
      <x:c r="I7" s="14" t="n">
        <x:v>9</x:v>
      </x:c>
      <x:c r="J7" s="14" t="n">
        <x:v>400</x:v>
      </x:c>
      <x:c r="K7" s="14" t="n">
        <x:v>13.25</x:v>
      </x:c>
      <x:c r="L7" s="14" t="n">
        <x:v>9.25</x:v>
      </x:c>
      <x:c r="M7" s="14" t="n">
        <x:v>6</x:v>
      </x:c>
      <x:c r="N7" s="14" t="n">
        <x:v>9</x:v>
      </x:c>
      <x:c r="O7" s="14" t="n">
        <x:v>5.875</x:v>
      </x:c>
      <x:c r="P7" s="14" t="n">
        <x:v>8.75</x:v>
      </x:c>
      <x:c r="Q7" s="14" t="n">
        <x:v>0.125</x:v>
      </x:c>
      <x:c r="R7" s="14" t="n">
        <x:v>0.125</x:v>
      </x:c>
      <x:c r="S7" s="14" t="n">
        <x:v>0.125</x:v>
      </x:c>
      <x:c r="T7" s="14" t="n">
        <x:v>0.125</x:v>
      </x:c>
      <x:c r="U7" s="14"/>
      <x:c r="V7" s="14"/>
      <x:c r="W7" s="14"/>
      <x:c r="X7" s="14"/>
      <x:c r="Y7" s="14" t="n">
        <x:v>1</x:v>
      </x:c>
      <x:c r="Z7" s="14" t="n">
        <x:v>9</x:v>
      </x:c>
      <x:c r="AA7" s="14" t="n">
        <x:v>0.875</x:v>
      </x:c>
      <x:c r="AB7" s="14" t="n">
        <x:v>8.75</x:v>
      </x:c>
      <x:c r="AC7" s="14" t="n">
        <x:v>0.062</x:v>
      </x:c>
      <x:c r="AD7" s="14" t="n">
        <x:v>0.062</x:v>
      </x:c>
      <x:c r="AE7" s="14" t="n">
        <x:v>0.25</x:v>
      </x:c>
      <x:c r="AF7" s="14" t="n">
        <x:v>0.25</x:v>
      </x:c>
      <x:c r="AG7" s="14" t="str">
        <x:v>B&amp;W cream paperback high page count</x:v>
      </x:c>
    </x:row>
    <x:row r="8">
      <x:c r="A8" s="14" t="n">
        <x:v>7</x:v>
      </x:c>
      <x:c r="B8" s="14" t="str">
        <x:v>image(45).png</x:v>
      </x:c>
      <x:c r="C8" s="14" t="str">
        <x:v>paperback</x:v>
      </x:c>
      <x:c r="D8" s="14" t="str">
        <x:v>black_and_white</x:v>
      </x:c>
      <x:c r="E8" s="14" t="str">
        <x:v>white</x:v>
      </x:c>
      <x:c r="F8" s="14" t="str">
        <x:v>left_to_right</x:v>
      </x:c>
      <x:c r="G8" s="14" t="str">
        <x:v>inches</x:v>
      </x:c>
      <x:c r="H8" s="14" t="n">
        <x:v>6</x:v>
      </x:c>
      <x:c r="I8" s="14" t="n">
        <x:v>9</x:v>
      </x:c>
      <x:c r="J8" s="14" t="n">
        <x:v>400</x:v>
      </x:c>
      <x:c r="K8" s="14" t="n">
        <x:v>13.151</x:v>
      </x:c>
      <x:c r="L8" s="14" t="n">
        <x:v>9.25</x:v>
      </x:c>
      <x:c r="M8" s="14" t="n">
        <x:v>6</x:v>
      </x:c>
      <x:c r="N8" s="14" t="n">
        <x:v>9</x:v>
      </x:c>
      <x:c r="O8" s="14" t="n">
        <x:v>5.875</x:v>
      </x:c>
      <x:c r="P8" s="14" t="n">
        <x:v>8.75</x:v>
      </x:c>
      <x:c r="Q8" s="14" t="n">
        <x:v>0.125</x:v>
      </x:c>
      <x:c r="R8" s="14" t="n">
        <x:v>0.125</x:v>
      </x:c>
      <x:c r="S8" s="14" t="n">
        <x:v>0.125</x:v>
      </x:c>
      <x:c r="T8" s="14" t="n">
        <x:v>0.125</x:v>
      </x:c>
      <x:c r="U8" s="14"/>
      <x:c r="V8" s="14"/>
      <x:c r="W8" s="14"/>
      <x:c r="X8" s="14"/>
      <x:c r="Y8" s="14" t="n">
        <x:v>0.901</x:v>
      </x:c>
      <x:c r="Z8" s="14" t="n">
        <x:v>9</x:v>
      </x:c>
      <x:c r="AA8" s="14" t="n">
        <x:v>0.776</x:v>
      </x:c>
      <x:c r="AB8" s="14" t="n">
        <x:v>8.75</x:v>
      </x:c>
      <x:c r="AC8" s="14" t="n">
        <x:v>0.062</x:v>
      </x:c>
      <x:c r="AD8" s="14" t="n">
        <x:v>0.062</x:v>
      </x:c>
      <x:c r="AE8" s="14" t="n">
        <x:v>0.25</x:v>
      </x:c>
      <x:c r="AF8" s="14" t="n">
        <x:v>0.25</x:v>
      </x:c>
      <x:c r="AG8" s="14" t="str">
        <x:v>B&amp;W white paperback high page count</x:v>
      </x:c>
    </x:row>
    <x:row r="9">
      <x:c r="A9" s="14" t="n">
        <x:v>8</x:v>
      </x:c>
      <x:c r="B9" s="14" t="str">
        <x:v>image(46).png</x:v>
      </x:c>
      <x:c r="C9" s="14" t="str">
        <x:v>paperback</x:v>
      </x:c>
      <x:c r="D9" s="14" t="str">
        <x:v>black_and_white</x:v>
      </x:c>
      <x:c r="E9" s="14" t="str">
        <x:v>white</x:v>
      </x:c>
      <x:c r="F9" s="14" t="str">
        <x:v>left_to_right</x:v>
      </x:c>
      <x:c r="G9" s="14" t="str">
        <x:v>inches</x:v>
      </x:c>
      <x:c r="H9" s="14" t="n">
        <x:v>6</x:v>
      </x:c>
      <x:c r="I9" s="14" t="n">
        <x:v>9</x:v>
      </x:c>
      <x:c r="J9" s="14" t="n">
        <x:v>76</x:v>
      </x:c>
      <x:c r="K9" s="14" t="n">
        <x:v>12.421</x:v>
      </x:c>
      <x:c r="L9" s="14" t="n">
        <x:v>9.25</x:v>
      </x:c>
      <x:c r="M9" s="14" t="n">
        <x:v>6</x:v>
      </x:c>
      <x:c r="N9" s="14" t="n">
        <x:v>9</x:v>
      </x:c>
      <x:c r="O9" s="14" t="n">
        <x:v>5.875</x:v>
      </x:c>
      <x:c r="P9" s="14" t="n">
        <x:v>8.75</x:v>
      </x:c>
      <x:c r="Q9" s="14" t="n">
        <x:v>0.125</x:v>
      </x:c>
      <x:c r="R9" s="14" t="n">
        <x:v>0.125</x:v>
      </x:c>
      <x:c r="S9" s="14" t="n">
        <x:v>0.125</x:v>
      </x:c>
      <x:c r="T9" s="14" t="n">
        <x:v>0.125</x:v>
      </x:c>
      <x:c r="U9" s="14"/>
      <x:c r="V9" s="14"/>
      <x:c r="W9" s="14"/>
      <x:c r="X9" s="14"/>
      <x:c r="Y9" s="14" t="n">
        <x:v>0.171</x:v>
      </x:c>
      <x:c r="Z9" s="14" t="n">
        <x:v>9</x:v>
      </x:c>
      <x:c r="AA9" s="14" t="n">
        <x:v>0.046</x:v>
      </x:c>
      <x:c r="AB9" s="14" t="n">
        <x:v>8.75</x:v>
      </x:c>
      <x:c r="AC9" s="14" t="n">
        <x:v>0.062</x:v>
      </x:c>
      <x:c r="AD9" s="14" t="n">
        <x:v>0.062</x:v>
      </x:c>
      <x:c r="AE9" s="14" t="n">
        <x:v>0.25</x:v>
      </x:c>
      <x:c r="AF9" s="14" t="n">
        <x:v>0.25</x:v>
      </x:c>
      <x:c r="AG9" s="14" t="str">
        <x:v>B&amp;W white paperback low page count</x:v>
      </x:c>
    </x:row>
    <x:row r="10">
      <x:c r="A10" s="14" t="n">
        <x:v>9</x:v>
      </x:c>
      <x:c r="B10" s="14" t="str">
        <x:v>image(47).png</x:v>
      </x:c>
      <x:c r="C10" s="14" t="str">
        <x:v>hardcover</x:v>
      </x:c>
      <x:c r="D10" s="14" t="str">
        <x:v>premium_color</x:v>
      </x:c>
      <x:c r="E10" s="14" t="str">
        <x:v>white</x:v>
      </x:c>
      <x:c r="F10" s="14" t="str">
        <x:v>left_to_right</x:v>
      </x:c>
      <x:c r="G10" s="14" t="str">
        <x:v>inches</x:v>
      </x:c>
      <x:c r="H10" s="14" t="n">
        <x:v>6</x:v>
      </x:c>
      <x:c r="I10" s="14" t="n">
        <x:v>9</x:v>
      </x:c>
      <x:c r="J10" s="14" t="n">
        <x:v>76</x:v>
      </x:c>
      <x:c r="K10" s="14" t="n">
        <x:v>13.942</x:v>
      </x:c>
      <x:c r="L10" s="14" t="n">
        <x:v>10.417</x:v>
      </x:c>
      <x:c r="M10" s="14" t="n">
        <x:v>6.197</x:v>
      </x:c>
      <x:c r="N10" s="14" t="n">
        <x:v>9.236</x:v>
      </x:c>
      <x:c r="O10" s="14"/>
      <x:c r="P10" s="14"/>
      <x:c r="Q10" s="14"/>
      <x:c r="R10" s="14"/>
      <x:c r="S10" s="14" t="n">
        <x:v>0.125</x:v>
      </x:c>
      <x:c r="T10" s="14" t="n">
        <x:v>0.125</x:v>
      </x:c>
      <x:c r="U10" s="14" t="n">
        <x:v>0.591</x:v>
      </x:c>
      <x:c r="V10" s="14" t="n">
        <x:v>0.591</x:v>
      </x:c>
      <x:c r="W10" s="14" t="n">
        <x:v>0.394</x:v>
      </x:c>
      <x:c r="X10" s="14" t="n">
        <x:v>10.417</x:v>
      </x:c>
      <x:c r="Y10" s="14" t="n">
        <x:v>0.367</x:v>
      </x:c>
      <x:c r="Z10" s="14" t="n">
        <x:v>9.236</x:v>
      </x:c>
      <x:c r="AA10" s="14" t="n">
        <x:v>0.242</x:v>
      </x:c>
      <x:c r="AB10" s="14" t="n">
        <x:v>8.986</x:v>
      </x:c>
      <x:c r="AC10" s="14" t="n">
        <x:v>0.062</x:v>
      </x:c>
      <x:c r="AD10" s="14" t="n">
        <x:v>0.062</x:v>
      </x:c>
      <x:c r="AE10" s="14" t="n">
        <x:v>0.25</x:v>
      </x:c>
      <x:c r="AF10" s="14" t="n">
        <x:v>0.375</x:v>
      </x:c>
      <x:c r="AG10" s="14" t="str">
        <x:v>Premium color white hardcover low page count</x:v>
      </x:c>
    </x:row>
    <x:row r="11">
      <x:c r="A11" s="14" t="n">
        <x:v>10</x:v>
      </x:c>
      <x:c r="B11" s="14" t="str">
        <x:v>image(48).png</x:v>
      </x:c>
      <x:c r="C11" s="14" t="str">
        <x:v>hardcover</x:v>
      </x:c>
      <x:c r="D11" s="14" t="str">
        <x:v>premium_color</x:v>
      </x:c>
      <x:c r="E11" s="14" t="str">
        <x:v>white</x:v>
      </x:c>
      <x:c r="F11" s="14" t="str">
        <x:v>left_to_right</x:v>
      </x:c>
      <x:c r="G11" s="14" t="str">
        <x:v>inches</x:v>
      </x:c>
      <x:c r="H11" s="14" t="n">
        <x:v>6</x:v>
      </x:c>
      <x:c r="I11" s="14" t="n">
        <x:v>9</x:v>
      </x:c>
      <x:c r="J11" s="14" t="n">
        <x:v>400</x:v>
      </x:c>
      <x:c r="K11" s="14" t="n">
        <x:v>14.703</x:v>
      </x:c>
      <x:c r="L11" s="14" t="n">
        <x:v>10.417</x:v>
      </x:c>
      <x:c r="M11" s="14" t="n">
        <x:v>6.197</x:v>
      </x:c>
      <x:c r="N11" s="14" t="n">
        <x:v>9.236</x:v>
      </x:c>
      <x:c r="O11" s="14"/>
      <x:c r="P11" s="14"/>
      <x:c r="Q11" s="14"/>
      <x:c r="R11" s="14"/>
      <x:c r="S11" s="14" t="n">
        <x:v>0.125</x:v>
      </x:c>
      <x:c r="T11" s="14" t="n">
        <x:v>0.125</x:v>
      </x:c>
      <x:c r="U11" s="14" t="n">
        <x:v>0.591</x:v>
      </x:c>
      <x:c r="V11" s="14" t="n">
        <x:v>0.591</x:v>
      </x:c>
      <x:c r="W11" s="14" t="n">
        <x:v>0.394</x:v>
      </x:c>
      <x:c r="X11" s="14" t="n">
        <x:v>10.417</x:v>
      </x:c>
      <x:c r="Y11" s="14" t="n">
        <x:v>1.128</x:v>
      </x:c>
      <x:c r="Z11" s="14" t="n">
        <x:v>9.236</x:v>
      </x:c>
      <x:c r="AA11" s="14" t="n">
        <x:v>1.003</x:v>
      </x:c>
      <x:c r="AB11" s="14" t="n">
        <x:v>8.986</x:v>
      </x:c>
      <x:c r="AC11" s="14" t="n">
        <x:v>0.062</x:v>
      </x:c>
      <x:c r="AD11" s="14" t="n">
        <x:v>0.062</x:v>
      </x:c>
      <x:c r="AE11" s="14" t="n">
        <x:v>0.25</x:v>
      </x:c>
      <x:c r="AF11" s="14" t="n">
        <x:v>0.375</x:v>
      </x:c>
      <x:c r="AG11" s="14" t="str">
        <x:v>Premium color white hardcover high page count</x:v>
      </x:c>
    </x:row>
    <x:row r="12">
      <x:c r="A12" s="14" t="n">
        <x:v>11</x:v>
      </x:c>
      <x:c r="B12" s="14" t="str">
        <x:v>image(49).png</x:v>
      </x:c>
      <x:c r="C12" s="14" t="str">
        <x:v>paperback</x:v>
      </x:c>
      <x:c r="D12" s="14" t="str">
        <x:v>premium_color</x:v>
      </x:c>
      <x:c r="E12" s="14" t="str">
        <x:v>white</x:v>
      </x:c>
      <x:c r="F12" s="14" t="str">
        <x:v>left_to_right</x:v>
      </x:c>
      <x:c r="G12" s="14" t="str">
        <x:v>inches</x:v>
      </x:c>
      <x:c r="H12" s="14" t="n">
        <x:v>6</x:v>
      </x:c>
      <x:c r="I12" s="14" t="n">
        <x:v>9</x:v>
      </x:c>
      <x:c r="J12" s="14" t="n">
        <x:v>400</x:v>
      </x:c>
      <x:c r="K12" s="14" t="n">
        <x:v>13.189</x:v>
      </x:c>
      <x:c r="L12" s="14" t="n">
        <x:v>9.25</x:v>
      </x:c>
      <x:c r="M12" s="14" t="n">
        <x:v>6</x:v>
      </x:c>
      <x:c r="N12" s="14" t="n">
        <x:v>9</x:v>
      </x:c>
      <x:c r="O12" s="14" t="n">
        <x:v>5.875</x:v>
      </x:c>
      <x:c r="P12" s="14" t="n">
        <x:v>8.75</x:v>
      </x:c>
      <x:c r="Q12" s="14" t="n">
        <x:v>0.125</x:v>
      </x:c>
      <x:c r="R12" s="14" t="n">
        <x:v>0.125</x:v>
      </x:c>
      <x:c r="S12" s="14" t="n">
        <x:v>0.125</x:v>
      </x:c>
      <x:c r="T12" s="14" t="n">
        <x:v>0.125</x:v>
      </x:c>
      <x:c r="U12" s="14"/>
      <x:c r="V12" s="14"/>
      <x:c r="W12" s="14"/>
      <x:c r="X12" s="14"/>
      <x:c r="Y12" s="14" t="n">
        <x:v>0.939</x:v>
      </x:c>
      <x:c r="Z12" s="14" t="n">
        <x:v>9</x:v>
      </x:c>
      <x:c r="AA12" s="14" t="n">
        <x:v>0.814</x:v>
      </x:c>
      <x:c r="AB12" s="14" t="n">
        <x:v>8.75</x:v>
      </x:c>
      <x:c r="AC12" s="14" t="n">
        <x:v>0.062</x:v>
      </x:c>
      <x:c r="AD12" s="14" t="n">
        <x:v>0.062</x:v>
      </x:c>
      <x:c r="AE12" s="14" t="n">
        <x:v>0.25</x:v>
      </x:c>
      <x:c r="AF12" s="14" t="n">
        <x:v>0.25</x:v>
      </x:c>
      <x:c r="AG12" s="14" t="str">
        <x:v>Premium color white paperback high page count</x:v>
      </x:c>
    </x:row>
    <x:row r="13">
      <x:c r="A13" s="14" t="n">
        <x:v>12</x:v>
      </x:c>
      <x:c r="B13" s="14" t="str">
        <x:v>image(50).png</x:v>
      </x:c>
      <x:c r="C13" s="14" t="str">
        <x:v>paperback</x:v>
      </x:c>
      <x:c r="D13" s="14" t="str">
        <x:v>premium_color</x:v>
      </x:c>
      <x:c r="E13" s="14" t="str">
        <x:v>white</x:v>
      </x:c>
      <x:c r="F13" s="14" t="str">
        <x:v>left_to_right</x:v>
      </x:c>
      <x:c r="G13" s="14" t="str">
        <x:v>inches</x:v>
      </x:c>
      <x:c r="H13" s="14" t="n">
        <x:v>6</x:v>
      </x:c>
      <x:c r="I13" s="14" t="n">
        <x:v>9</x:v>
      </x:c>
      <x:c r="J13" s="14" t="n">
        <x:v>76</x:v>
      </x:c>
      <x:c r="K13" s="14" t="n">
        <x:v>12.428</x:v>
      </x:c>
      <x:c r="L13" s="14" t="n">
        <x:v>9.25</x:v>
      </x:c>
      <x:c r="M13" s="14" t="n">
        <x:v>6</x:v>
      </x:c>
      <x:c r="N13" s="14" t="n">
        <x:v>9</x:v>
      </x:c>
      <x:c r="O13" s="14" t="n">
        <x:v>5.875</x:v>
      </x:c>
      <x:c r="P13" s="14" t="n">
        <x:v>8.75</x:v>
      </x:c>
      <x:c r="Q13" s="14" t="n">
        <x:v>0.125</x:v>
      </x:c>
      <x:c r="R13" s="14" t="n">
        <x:v>0.125</x:v>
      </x:c>
      <x:c r="S13" s="14" t="n">
        <x:v>0.125</x:v>
      </x:c>
      <x:c r="T13" s="14" t="n">
        <x:v>0.125</x:v>
      </x:c>
      <x:c r="U13" s="14"/>
      <x:c r="V13" s="14"/>
      <x:c r="W13" s="14"/>
      <x:c r="X13" s="14"/>
      <x:c r="Y13" s="14" t="n">
        <x:v>0.178</x:v>
      </x:c>
      <x:c r="Z13" s="14" t="n">
        <x:v>9</x:v>
      </x:c>
      <x:c r="AA13" s="14" t="n">
        <x:v>0.053</x:v>
      </x:c>
      <x:c r="AB13" s="14" t="n">
        <x:v>8.75</x:v>
      </x:c>
      <x:c r="AC13" s="14" t="n">
        <x:v>0.062</x:v>
      </x:c>
      <x:c r="AD13" s="14" t="n">
        <x:v>0.062</x:v>
      </x:c>
      <x:c r="AE13" s="14" t="n">
        <x:v>0.25</x:v>
      </x:c>
      <x:c r="AF13" s="14" t="n">
        <x:v>0.25</x:v>
      </x:c>
      <x:c r="AG13" s="14" t="str">
        <x:v>Premium color white paperback low page count</x:v>
      </x:c>
    </x:row>
    <x:row r="14">
      <x:c r="A14" s="14" t="n">
        <x:v>13</x:v>
      </x:c>
      <x:c r="B14" s="14" t="str">
        <x:v>image(51).png</x:v>
      </x:c>
      <x:c r="C14" s="14" t="str">
        <x:v>paperback</x:v>
      </x:c>
      <x:c r="D14" s="14" t="str">
        <x:v>standard_color</x:v>
      </x:c>
      <x:c r="E14" s="14" t="str">
        <x:v>white</x:v>
      </x:c>
      <x:c r="F14" s="14" t="str">
        <x:v>left_to_right</x:v>
      </x:c>
      <x:c r="G14" s="14" t="str">
        <x:v>inches</x:v>
      </x:c>
      <x:c r="H14" s="14" t="n">
        <x:v>6</x:v>
      </x:c>
      <x:c r="I14" s="14" t="n">
        <x:v>9</x:v>
      </x:c>
      <x:c r="J14" s="14" t="n">
        <x:v>76</x:v>
      </x:c>
      <x:c r="K14" s="14" t="n">
        <x:v>12.421</x:v>
      </x:c>
      <x:c r="L14" s="14" t="n">
        <x:v>9.25</x:v>
      </x:c>
      <x:c r="M14" s="14" t="n">
        <x:v>6</x:v>
      </x:c>
      <x:c r="N14" s="14" t="n">
        <x:v>9</x:v>
      </x:c>
      <x:c r="O14" s="14" t="n">
        <x:v>5.875</x:v>
      </x:c>
      <x:c r="P14" s="14" t="n">
        <x:v>8.75</x:v>
      </x:c>
      <x:c r="Q14" s="14" t="n">
        <x:v>0.125</x:v>
      </x:c>
      <x:c r="R14" s="14" t="n">
        <x:v>0.125</x:v>
      </x:c>
      <x:c r="S14" s="14" t="n">
        <x:v>0.125</x:v>
      </x:c>
      <x:c r="T14" s="14" t="n">
        <x:v>0.125</x:v>
      </x:c>
      <x:c r="U14" s="14"/>
      <x:c r="V14" s="14"/>
      <x:c r="W14" s="14"/>
      <x:c r="X14" s="14"/>
      <x:c r="Y14" s="14" t="n">
        <x:v>0.171</x:v>
      </x:c>
      <x:c r="Z14" s="14" t="n">
        <x:v>9</x:v>
      </x:c>
      <x:c r="AA14" s="14" t="n">
        <x:v>0.046</x:v>
      </x:c>
      <x:c r="AB14" s="14" t="n">
        <x:v>8.75</x:v>
      </x:c>
      <x:c r="AC14" s="14" t="n">
        <x:v>0.062</x:v>
      </x:c>
      <x:c r="AD14" s="14" t="n">
        <x:v>0.062</x:v>
      </x:c>
      <x:c r="AE14" s="14" t="n">
        <x:v>0.25</x:v>
      </x:c>
      <x:c r="AF14" s="14" t="n">
        <x:v>0.25</x:v>
      </x:c>
      <x:c r="AG14" s="14" t="str">
        <x:v>Standard color white paperback low page count; matches B&amp;W white</x:v>
      </x:c>
    </x:row>
    <x:row r="15">
      <x:c r="A15" s="14" t="n">
        <x:v>14</x:v>
      </x:c>
      <x:c r="B15" s="14" t="str">
        <x:v>image(52).png</x:v>
      </x:c>
      <x:c r="C15" s="14" t="str">
        <x:v>paperback</x:v>
      </x:c>
      <x:c r="D15" s="14" t="str">
        <x:v>standard_color</x:v>
      </x:c>
      <x:c r="E15" s="14" t="str">
        <x:v>white</x:v>
      </x:c>
      <x:c r="F15" s="14" t="str">
        <x:v>left_to_right</x:v>
      </x:c>
      <x:c r="G15" s="14" t="str">
        <x:v>inches</x:v>
      </x:c>
      <x:c r="H15" s="14" t="n">
        <x:v>6</x:v>
      </x:c>
      <x:c r="I15" s="14" t="n">
        <x:v>9</x:v>
      </x:c>
      <x:c r="J15" s="14" t="n">
        <x:v>400</x:v>
      </x:c>
      <x:c r="K15" s="14" t="n">
        <x:v>13.151</x:v>
      </x:c>
      <x:c r="L15" s="14" t="n">
        <x:v>9.25</x:v>
      </x:c>
      <x:c r="M15" s="14" t="n">
        <x:v>6</x:v>
      </x:c>
      <x:c r="N15" s="14" t="n">
        <x:v>9</x:v>
      </x:c>
      <x:c r="O15" s="14" t="n">
        <x:v>5.875</x:v>
      </x:c>
      <x:c r="P15" s="14" t="n">
        <x:v>8.75</x:v>
      </x:c>
      <x:c r="Q15" s="14" t="n">
        <x:v>0.125</x:v>
      </x:c>
      <x:c r="R15" s="14" t="n">
        <x:v>0.125</x:v>
      </x:c>
      <x:c r="S15" s="14" t="n">
        <x:v>0.125</x:v>
      </x:c>
      <x:c r="T15" s="14" t="n">
        <x:v>0.125</x:v>
      </x:c>
      <x:c r="U15" s="14"/>
      <x:c r="V15" s="14"/>
      <x:c r="W15" s="14"/>
      <x:c r="X15" s="14"/>
      <x:c r="Y15" s="14" t="n">
        <x:v>0.901</x:v>
      </x:c>
      <x:c r="Z15" s="14" t="n">
        <x:v>9</x:v>
      </x:c>
      <x:c r="AA15" s="14" t="n">
        <x:v>0.776</x:v>
      </x:c>
      <x:c r="AB15" s="14" t="n">
        <x:v>8.75</x:v>
      </x:c>
      <x:c r="AC15" s="14" t="n">
        <x:v>0.062</x:v>
      </x:c>
      <x:c r="AD15" s="14" t="n">
        <x:v>0.062</x:v>
      </x:c>
      <x:c r="AE15" s="14" t="n">
        <x:v>0.25</x:v>
      </x:c>
      <x:c r="AF15" s="14" t="n">
        <x:v>0.25</x:v>
      </x:c>
      <x:c r="AG15" s="14" t="str">
        <x:v>Standard color white paperback high page count; matches B&amp;W white</x:v>
      </x:c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  <x:c r="K16" s="15"/>
      <x:c r="L16" s="15"/>
      <x:c r="M16" s="15"/>
      <x:c r="N16" s="15"/>
      <x:c r="O16" s="15"/>
      <x:c r="P16" s="15"/>
      <x:c r="Q16" s="15"/>
      <x:c r="R16" s="15"/>
      <x:c r="S16" s="15"/>
      <x:c r="T16" s="15"/>
      <x:c r="U16" s="15"/>
      <x:c r="V16" s="15"/>
      <x:c r="W16" s="15"/>
      <x:c r="X16" s="15"/>
      <x:c r="Y16" s="15"/>
      <x:c r="Z16" s="15"/>
      <x:c r="AA16" s="15"/>
      <x:c r="AB16" s="15"/>
      <x:c r="AC16" s="15"/>
      <x:c r="AD16" s="15"/>
      <x:c r="AE16" s="15"/>
      <x:c r="AF16" s="15"/>
      <x:c r="AG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  <x:c r="L17" s="15"/>
      <x:c r="M17" s="15"/>
      <x:c r="N17" s="15"/>
      <x:c r="O17" s="15"/>
      <x:c r="P17" s="15"/>
      <x:c r="Q17" s="15"/>
      <x:c r="R17" s="15"/>
      <x:c r="S17" s="15"/>
      <x:c r="T17" s="15"/>
      <x:c r="U17" s="15"/>
      <x:c r="V17" s="15"/>
      <x:c r="W17" s="15"/>
      <x:c r="X17" s="15"/>
      <x:c r="Y17" s="15"/>
      <x:c r="Z17" s="15"/>
      <x:c r="AA17" s="15"/>
      <x:c r="AB17" s="15"/>
      <x:c r="AC17" s="15"/>
      <x:c r="AD17" s="15"/>
      <x:c r="AE17" s="15"/>
      <x:c r="AF17" s="15"/>
      <x:c r="AG17" s="15"/>
    </x:row>
  </x:sheetData>
  <x:pageMargins left="0.7" right="0.7" top="0.75" bottom="0.75" header="0.3" footer="0.3"/>
  <x:tableParts count="1">
    <x:tablePart xmlns:r="http://schemas.openxmlformats.org/officeDocument/2006/relationships" r:id="R5f08ddff4d9244d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6" hidden="0" customWidth="1"/>
    <x:col min="5" max="5" width="44" hidden="0" customWidth="1"/>
  </x:cols>
  <x:sheetData>
    <x:row r="1">
      <x:c r="A1" s="6" t="str">
        <x:v>Key</x:v>
      </x:c>
      <x:c r="B1" s="32" t="str">
        <x:v>Interior Type</x:v>
      </x:c>
      <x:c r="C1" s="32" t="str">
        <x:v>Paper</x:v>
      </x:c>
      <x:c r="D1" s="34" t="str">
        <x:v>Thickness in/page</x:v>
      </x:c>
      <x:c r="E1" s="6" t="str">
        <x:v>Source/Status</x:v>
      </x:c>
    </x:row>
    <x:row r="2">
      <x:c r="A2" s="14" t="str">
        <x:v>black_and_white|white</x:v>
      </x:c>
      <x:c r="B2" s="14" t="str">
        <x:v>black_and_white</x:v>
      </x:c>
      <x:c r="C2" s="14" t="str">
        <x:v>white</x:v>
      </x:c>
      <x:c r="D2" s="14" t="n">
        <x:v>0.002252</x:v>
      </x:c>
      <x:c r="E2" s="14" t="str">
        <x:v>Validated by B&amp;W white screenshots</x:v>
      </x:c>
    </x:row>
    <x:row r="3">
      <x:c r="A3" s="14" t="str">
        <x:v>black_and_white|cream</x:v>
      </x:c>
      <x:c r="B3" s="14" t="str">
        <x:v>black_and_white</x:v>
      </x:c>
      <x:c r="C3" s="14" t="str">
        <x:v>cream</x:v>
      </x:c>
      <x:c r="D3" s="14" t="n">
        <x:v>0.0025</x:v>
      </x:c>
      <x:c r="E3" s="14" t="str">
        <x:v>Validated by B&amp;W cream screenshots</x:v>
      </x:c>
    </x:row>
    <x:row r="4">
      <x:c r="A4" s="14" t="str">
        <x:v>standard_color|white</x:v>
      </x:c>
      <x:c r="B4" s="14" t="str">
        <x:v>standard_color</x:v>
      </x:c>
      <x:c r="C4" s="14" t="str">
        <x:v>white</x:v>
      </x:c>
      <x:c r="D4" s="14" t="n">
        <x:v>0.002252</x:v>
      </x:c>
      <x:c r="E4" s="14" t="str">
        <x:v>Validated by standard color white paperback screenshots</x:v>
      </x:c>
    </x:row>
    <x:row r="5">
      <x:c r="A5" s="14" t="str">
        <x:v>premium_color|white</x:v>
      </x:c>
      <x:c r="B5" s="14" t="str">
        <x:v>premium_color</x:v>
      </x:c>
      <x:c r="C5" s="14" t="str">
        <x:v>white</x:v>
      </x:c>
      <x:c r="D5" s="14" t="n">
        <x:v>0.002347</x:v>
      </x:c>
      <x:c r="E5" s="14" t="str">
        <x:v>Validated by premium color white screenshots</x:v>
      </x:c>
    </x:row>
    <x:row r="6">
      <x:c r="A6" s="14" t="str"/>
      <x:c r="B6" s="14" t="str"/>
      <x:c r="C6" s="14" t="str"/>
      <x:c r="D6" s="14" t="str"/>
      <x:c r="E6" s="14" t="str"/>
    </x:row>
    <x:row r="7">
      <x:c r="A7" s="14" t="str">
        <x:v>Constant</x:v>
      </x:c>
      <x:c r="B7" s="36" t="str">
        <x:v>Value (in)</x:v>
      </x:c>
      <x:c r="C7" s="14" t="str"/>
      <x:c r="D7" s="14" t="str"/>
      <x:c r="E7" s="14" t="str">
        <x:v>Notes</x:v>
      </x:c>
    </x:row>
    <x:row r="8">
      <x:c r="A8" s="14" t="str">
        <x:v>Paperback bleed</x:v>
      </x:c>
      <x:c r="B8" s="36" t="n">
        <x:v>0.125</x:v>
      </x:c>
      <x:c r="C8" s="14" t="str"/>
      <x:c r="D8" s="14" t="str"/>
      <x:c r="E8" s="14" t="str">
        <x:v>Both width and height</x:v>
      </x:c>
    </x:row>
    <x:row r="9">
      <x:c r="A9" s="14" t="str">
        <x:v>Paperback margin</x:v>
      </x:c>
      <x:c r="B9" s="36" t="n">
        <x:v>0.125</x:v>
      </x:c>
      <x:c r="C9" s="14" t="str"/>
      <x:c r="D9" s="14" t="str"/>
      <x:c r="E9" s="14" t="str">
        <x:v>KDP safe-area margin</x:v>
      </x:c>
    </x:row>
    <x:row r="10">
      <x:c r="A10" s="14" t="str">
        <x:v>Spine margin</x:v>
      </x:c>
      <x:c r="B10" s="36" t="n">
        <x:v>0.0625</x:v>
      </x:c>
      <x:c r="C10" s="14" t="str"/>
      <x:c r="D10" s="14" t="str"/>
      <x:c r="E10" s="14" t="str">
        <x:v>KDP displays as 0.062</x:v>
      </x:c>
    </x:row>
    <x:row r="11">
      <x:c r="A11" s="14" t="str">
        <x:v>Hardcover spine extra</x:v>
      </x:c>
      <x:c r="B11" s="36" t="n">
        <x:v>0.189</x:v>
      </x:c>
      <x:c r="C11" s="14" t="str"/>
      <x:c r="D11" s="14" t="str"/>
      <x:c r="E11" s="14" t="str">
        <x:v>Case-laminate spine allowance</x:v>
      </x:c>
    </x:row>
    <x:row r="12">
      <x:c r="A12" s="14" t="str">
        <x:v>Hardcover wrap</x:v>
      </x:c>
      <x:c r="B12" s="36" t="n">
        <x:v>0.5905</x:v>
      </x:c>
      <x:c r="C12" s="14" t="str"/>
      <x:c r="D12" s="14" t="str"/>
      <x:c r="E12" s="14" t="str">
        <x:v>KDP displays as 0.591</x:v>
      </x:c>
    </x:row>
    <x:row r="13">
      <x:c r="A13" s="14" t="str">
        <x:v>Hardcover hinge per side</x:v>
      </x:c>
      <x:c r="B13" s="36" t="n">
        <x:v>0.197</x:v>
      </x:c>
      <x:c r="C13" s="14" t="str"/>
      <x:c r="D13" s="14" t="str"/>
      <x:c r="E13" s="14" t="str">
        <x:v>KDP displays hinge total as 0.394</x:v>
      </x:c>
    </x:row>
    <x:row r="14">
      <x:c r="A14" s="14" t="str">
        <x:v>Hardcover vertical outer</x:v>
      </x:c>
      <x:c r="B14" s="36" t="n">
        <x:v>0.7085</x:v>
      </x:c>
      <x:c r="C14" s="14" t="str"/>
      <x:c r="D14" s="14" t="str"/>
      <x:c r="E14" s="14" t="str">
        <x:v>9 + 2×0.7085 = 10.417</x:v>
      </x:c>
    </x:row>
    <x:row r="15">
      <x:c r="A15" s="14" t="str">
        <x:v>Hardcover margin</x:v>
      </x:c>
      <x:c r="B15" s="36" t="n">
        <x:v>0.125</x:v>
      </x:c>
      <x:c r="C15" s="14" t="str"/>
      <x:c r="D15" s="14" t="str"/>
      <x:c r="E15" s="14" t="str">
        <x:v>KDP safe-area margin</x:v>
      </x:c>
    </x:row>
    <x:row r="16">
      <x:c r="A16" s="14" t="str">
        <x:v>Hardcover barcode margin Y</x:v>
      </x:c>
      <x:c r="B16" s="36" t="n">
        <x:v>0.375</x:v>
      </x:c>
      <x:c r="C16" s="14" t="str"/>
      <x:c r="D16" s="14" t="str"/>
      <x:c r="E16" s="14" t="str">
        <x:v>Paperback barcode Y is 0.250</x:v>
      </x:c>
    </x:row>
    <x:row r="17">
      <x:c r="A17" s="15"/>
      <x:c r="B17" s="15"/>
      <x:c r="C17" s="15"/>
      <x:c r="D17" s="15"/>
      <x:c r="E17" s="15"/>
    </x:row>
  </x:sheetData>
  <x:pageMargins left="0.7" right="0.7" top="0.75" bottom="0.75" header="0.3" footer="0.3"/>
  <x:tableParts count="1">
    <x:tablePart xmlns:r="http://schemas.openxmlformats.org/officeDocument/2006/relationships" r:id="R4cf1588c7522473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6" hidden="0" customWidth="1"/>
    <x:col min="3" max="3" width="16" hidden="0" customWidth="1"/>
    <x:col min="4" max="4" width="16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0" hidden="0" customWidth="1"/>
  </x:cols>
  <x:sheetData>
    <x:row r="1">
      <x:c r="A1" s="28" t="str">
        <x:v>ID</x:v>
      </x:c>
      <x:c r="B1" s="6" t="str">
        <x:v>Binding</x:v>
      </x:c>
      <x:c r="C1" s="6" t="str">
        <x:v>Interior Type</x:v>
      </x:c>
      <x:c r="D1" s="6" t="str">
        <x:v>Paper</x:v>
      </x:c>
      <x:c r="E1" s="28" t="str">
        <x:v>Trim W</x:v>
      </x:c>
      <x:c r="F1" s="28" t="str">
        <x:v>Trim H</x:v>
      </x:c>
      <x:c r="G1" s="28" t="str">
        <x:v>Pages</x:v>
      </x:c>
      <x:c r="H1" s="34" t="str">
        <x:v>KDP Full W</x:v>
      </x:c>
      <x:c r="I1" s="34" t="str">
        <x:v>Calc Full W</x:v>
      </x:c>
      <x:c r="J1" s="34" t="str">
        <x:v>Full W Δ</x:v>
      </x:c>
      <x:c r="K1" s="34" t="str">
        <x:v>KDP Full H</x:v>
      </x:c>
      <x:c r="L1" s="34" t="str">
        <x:v>Calc Full H</x:v>
      </x:c>
      <x:c r="M1" s="34" t="str">
        <x:v>Full H Δ</x:v>
      </x:c>
      <x:c r="N1" s="34" t="str">
        <x:v>KDP Spine W</x:v>
      </x:c>
      <x:c r="O1" s="34" t="str">
        <x:v>Calc Spine W</x:v>
      </x:c>
      <x:c r="P1" s="34" t="str">
        <x:v>Spine Δ</x:v>
      </x:c>
      <x:c r="Q1" s="32" t="str">
        <x:v>Status</x:v>
      </x:c>
    </x:row>
    <x:row r="2">
      <x:c r="A2" s="14" t="n">
        <x:v>1</x:v>
      </x:c>
      <x:c r="B2" s="14" t="str">
        <x:v>hardcover</x:v>
      </x:c>
      <x:c r="C2" s="14" t="str">
        <x:v>black_and_white</x:v>
      </x:c>
      <x:c r="D2" s="14" t="str">
        <x:v>white</x:v>
      </x:c>
      <x:c r="E2" s="14" t="n">
        <x:v>6</x:v>
      </x:c>
      <x:c r="F2" s="14" t="n">
        <x:v>9</x:v>
      </x:c>
      <x:c r="G2" s="14" t="n">
        <x:v>76</x:v>
      </x:c>
      <x:c r="H2" s="14" t="n">
        <x:v>13.935</x:v>
      </x:c>
      <x:c r="I2" s="14" t="n">
        <x:f>IF(B2="paperback",2*E2+O2+2*Coefficients!$B$8,2*E2+O2+2*Coefficients!$B$12+2*Coefficients!$B$13)</x:f>
        <x:v>13.935152</x:v>
      </x:c>
      <x:c r="J2" s="14" t="n">
        <x:f>I2-H2</x:f>
        <x:v>0.00015199999999992997</x:v>
      </x:c>
      <x:c r="K2" s="14" t="n">
        <x:v>10.417</x:v>
      </x:c>
      <x:c r="L2" s="14" t="n">
        <x:f>IF(B2="paperback",F2+2*Coefficients!$B$8,F2+2*Coefficients!$B$14)</x:f>
        <x:v>10.417</x:v>
      </x:c>
      <x:c r="M2" s="14" t="n">
        <x:f>L2-K2</x:f>
        <x:v>0</x:v>
      </x:c>
      <x:c r="N2" s="14" t="n">
        <x:v>0.36</x:v>
      </x:c>
      <x:c r="O2" s="14" t="n">
        <x:f>G2*VLOOKUP(C2&amp;"|"&amp;D2,Coefficients!$A$2:$D$5,4,FALSE)+IF(B2="hardcover",Coefficients!$B$11,0)</x:f>
        <x:v>0.360152</x:v>
      </x:c>
      <x:c r="P2" s="14" t="n">
        <x:f>O2-N2</x:f>
        <x:v>0.000152000000000041</x:v>
      </x:c>
      <x:c r="Q2" s="14" t="str">
        <x:f>IF(AND(ABS(J2)&lt;=0.001,ABS(M2)&lt;=0.001,ABS(P2)&lt;=0.001),"OK","CHECK")</x:f>
        <x:v>OK</x:v>
      </x:c>
    </x:row>
    <x:row r="3">
      <x:c r="A3" s="14" t="n">
        <x:v>2</x:v>
      </x:c>
      <x:c r="B3" s="14" t="str">
        <x:v>hardcover</x:v>
      </x:c>
      <x:c r="C3" s="14" t="str">
        <x:v>black_and_white</x:v>
      </x:c>
      <x:c r="D3" s="14" t="str">
        <x:v>white</x:v>
      </x:c>
      <x:c r="E3" s="14" t="n">
        <x:v>6</x:v>
      </x:c>
      <x:c r="F3" s="14" t="n">
        <x:v>9</x:v>
      </x:c>
      <x:c r="G3" s="14" t="n">
        <x:v>400</x:v>
      </x:c>
      <x:c r="H3" s="14" t="n">
        <x:v>14.665</x:v>
      </x:c>
      <x:c r="I3" s="14" t="n">
        <x:f>IF(B3="paperback",2*E3+O3+2*Coefficients!$B$8,2*E3+O3+2*Coefficients!$B$12+2*Coefficients!$B$13)</x:f>
        <x:v>14.664800000000001</x:v>
      </x:c>
      <x:c r="J3" s="14" t="n">
        <x:f>I3-H3</x:f>
        <x:v>-0.00019999999999775753</x:v>
      </x:c>
      <x:c r="K3" s="14" t="n">
        <x:v>10.417</x:v>
      </x:c>
      <x:c r="L3" s="14" t="n">
        <x:f>IF(B3="paperback",F3+2*Coefficients!$B$8,F3+2*Coefficients!$B$14)</x:f>
        <x:v>10.417</x:v>
      </x:c>
      <x:c r="M3" s="14" t="n">
        <x:f>L3-K3</x:f>
        <x:v>0</x:v>
      </x:c>
      <x:c r="N3" s="14" t="n">
        <x:v>1.09</x:v>
      </x:c>
      <x:c r="O3" s="14" t="n">
        <x:f>G3*VLOOKUP(C3&amp;"|"&amp;D3,Coefficients!$A$2:$D$5,4,FALSE)+IF(B3="hardcover",Coefficients!$B$11,0)</x:f>
        <x:v>1.0898</x:v>
      </x:c>
      <x:c r="P3" s="14" t="n">
        <x:f>O3-N3</x:f>
        <x:v>-0.00019999999999997797</x:v>
      </x:c>
      <x:c r="Q3" s="14" t="str">
        <x:f>IF(AND(ABS(J3)&lt;=0.001,ABS(M3)&lt;=0.001,ABS(P3)&lt;=0.001),"OK","CHECK")</x:f>
        <x:v>OK</x:v>
      </x:c>
    </x:row>
    <x:row r="4">
      <x:c r="A4" s="14" t="n">
        <x:v>3</x:v>
      </x:c>
      <x:c r="B4" s="14" t="str">
        <x:v>hardcover</x:v>
      </x:c>
      <x:c r="C4" s="14" t="str">
        <x:v>black_and_white</x:v>
      </x:c>
      <x:c r="D4" s="14" t="str">
        <x:v>cream</x:v>
      </x:c>
      <x:c r="E4" s="14" t="n">
        <x:v>6</x:v>
      </x:c>
      <x:c r="F4" s="14" t="n">
        <x:v>9</x:v>
      </x:c>
      <x:c r="G4" s="14" t="n">
        <x:v>400</x:v>
      </x:c>
      <x:c r="H4" s="14" t="n">
        <x:v>14.764</x:v>
      </x:c>
      <x:c r="I4" s="14" t="n">
        <x:f>IF(B4="paperback",2*E4+O4+2*Coefficients!$B$8,2*E4+O4+2*Coefficients!$B$12+2*Coefficients!$B$13)</x:f>
        <x:v>14.764000000000001</x:v>
      </x:c>
      <x:c r="J4" s="14" t="n">
        <x:f>I4-H4</x:f>
        <x:v>1.7763568394002505e-15</x:v>
      </x:c>
      <x:c r="K4" s="14" t="n">
        <x:v>10.417</x:v>
      </x:c>
      <x:c r="L4" s="14" t="n">
        <x:f>IF(B4="paperback",F4+2*Coefficients!$B$8,F4+2*Coefficients!$B$14)</x:f>
        <x:v>10.417</x:v>
      </x:c>
      <x:c r="M4" s="14" t="n">
        <x:f>L4-K4</x:f>
        <x:v>0</x:v>
      </x:c>
      <x:c r="N4" s="14" t="n">
        <x:v>1.189</x:v>
      </x:c>
      <x:c r="O4" s="14" t="n">
        <x:f>G4*VLOOKUP(C4&amp;"|"&amp;D4,Coefficients!$A$2:$D$5,4,FALSE)+IF(B4="hardcover",Coefficients!$B$11,0)</x:f>
        <x:v>1.189</x:v>
      </x:c>
      <x:c r="P4" s="14" t="n">
        <x:f>O4-N4</x:f>
        <x:v>0</x:v>
      </x:c>
      <x:c r="Q4" s="14" t="str">
        <x:f>IF(AND(ABS(J4)&lt;=0.001,ABS(M4)&lt;=0.001,ABS(P4)&lt;=0.001),"OK","CHECK")</x:f>
        <x:v>OK</x:v>
      </x:c>
    </x:row>
    <x:row r="5">
      <x:c r="A5" s="14" t="n">
        <x:v>4</x:v>
      </x:c>
      <x:c r="B5" s="14" t="str">
        <x:v>hardcover</x:v>
      </x:c>
      <x:c r="C5" s="14" t="str">
        <x:v>black_and_white</x:v>
      </x:c>
      <x:c r="D5" s="14" t="str">
        <x:v>cream</x:v>
      </x:c>
      <x:c r="E5" s="14" t="n">
        <x:v>6</x:v>
      </x:c>
      <x:c r="F5" s="14" t="n">
        <x:v>9</x:v>
      </x:c>
      <x:c r="G5" s="14" t="n">
        <x:v>76</x:v>
      </x:c>
      <x:c r="H5" s="14" t="n">
        <x:v>13.954</x:v>
      </x:c>
      <x:c r="I5" s="14" t="n">
        <x:f>IF(B5="paperback",2*E5+O5+2*Coefficients!$B$8,2*E5+O5+2*Coefficients!$B$12+2*Coefficients!$B$13)</x:f>
        <x:v>13.953999999999999</x:v>
      </x:c>
      <x:c r="J5" s="14" t="n">
        <x:f>I5-H5</x:f>
        <x:v>-1.7763568394002505e-15</x:v>
      </x:c>
      <x:c r="K5" s="14" t="n">
        <x:v>10.417</x:v>
      </x:c>
      <x:c r="L5" s="14" t="n">
        <x:f>IF(B5="paperback",F5+2*Coefficients!$B$8,F5+2*Coefficients!$B$14)</x:f>
        <x:v>10.417</x:v>
      </x:c>
      <x:c r="M5" s="14" t="n">
        <x:f>L5-K5</x:f>
        <x:v>0</x:v>
      </x:c>
      <x:c r="N5" s="14" t="n">
        <x:v>0.379</x:v>
      </x:c>
      <x:c r="O5" s="14" t="n">
        <x:f>G5*VLOOKUP(C5&amp;"|"&amp;D5,Coefficients!$A$2:$D$5,4,FALSE)+IF(B5="hardcover",Coefficients!$B$11,0)</x:f>
        <x:v>0.379</x:v>
      </x:c>
      <x:c r="P5" s="14" t="n">
        <x:f>O5-N5</x:f>
        <x:v>0</x:v>
      </x:c>
      <x:c r="Q5" s="14" t="str">
        <x:f>IF(AND(ABS(J5)&lt;=0.001,ABS(M5)&lt;=0.001,ABS(P5)&lt;=0.001),"OK","CHECK")</x:f>
        <x:v>OK</x:v>
      </x:c>
    </x:row>
    <x:row r="6">
      <x:c r="A6" s="14" t="n">
        <x:v>5</x:v>
      </x:c>
      <x:c r="B6" s="14" t="str">
        <x:v>paperback</x:v>
      </x:c>
      <x:c r="C6" s="14" t="str">
        <x:v>black_and_white</x:v>
      </x:c>
      <x:c r="D6" s="14" t="str">
        <x:v>cream</x:v>
      </x:c>
      <x:c r="E6" s="14" t="n">
        <x:v>6</x:v>
      </x:c>
      <x:c r="F6" s="14" t="n">
        <x:v>9</x:v>
      </x:c>
      <x:c r="G6" s="14" t="n">
        <x:v>76</x:v>
      </x:c>
      <x:c r="H6" s="14" t="n">
        <x:v>12.44</x:v>
      </x:c>
      <x:c r="I6" s="14" t="n">
        <x:f>IF(B6="paperback",2*E6+O6+2*Coefficients!$B$8,2*E6+O6+2*Coefficients!$B$12+2*Coefficients!$B$13)</x:f>
        <x:v>12.44</x:v>
      </x:c>
      <x:c r="J6" s="14" t="n">
        <x:f>I6-H6</x:f>
        <x:v>0</x:v>
      </x:c>
      <x:c r="K6" s="14" t="n">
        <x:v>9.25</x:v>
      </x:c>
      <x:c r="L6" s="14" t="n">
        <x:f>IF(B6="paperback",F6+2*Coefficients!$B$8,F6+2*Coefficients!$B$14)</x:f>
        <x:v>9.25</x:v>
      </x:c>
      <x:c r="M6" s="14" t="n">
        <x:f>L6-K6</x:f>
        <x:v>0</x:v>
      </x:c>
      <x:c r="N6" s="14" t="n">
        <x:v>0.19</x:v>
      </x:c>
      <x:c r="O6" s="14" t="n">
        <x:f>G6*VLOOKUP(C6&amp;"|"&amp;D6,Coefficients!$A$2:$D$5,4,FALSE)+IF(B6="hardcover",Coefficients!$B$11,0)</x:f>
        <x:v>0.19</x:v>
      </x:c>
      <x:c r="P6" s="14" t="n">
        <x:f>O6-N6</x:f>
        <x:v>0</x:v>
      </x:c>
      <x:c r="Q6" s="14" t="str">
        <x:f>IF(AND(ABS(J6)&lt;=0.001,ABS(M6)&lt;=0.001,ABS(P6)&lt;=0.001),"OK","CHECK")</x:f>
        <x:v>OK</x:v>
      </x:c>
    </x:row>
    <x:row r="7">
      <x:c r="A7" s="14" t="n">
        <x:v>6</x:v>
      </x:c>
      <x:c r="B7" s="14" t="str">
        <x:v>paperback</x:v>
      </x:c>
      <x:c r="C7" s="14" t="str">
        <x:v>black_and_white</x:v>
      </x:c>
      <x:c r="D7" s="14" t="str">
        <x:v>cream</x:v>
      </x:c>
      <x:c r="E7" s="14" t="n">
        <x:v>6</x:v>
      </x:c>
      <x:c r="F7" s="14" t="n">
        <x:v>9</x:v>
      </x:c>
      <x:c r="G7" s="14" t="n">
        <x:v>400</x:v>
      </x:c>
      <x:c r="H7" s="14" t="n">
        <x:v>13.25</x:v>
      </x:c>
      <x:c r="I7" s="14" t="n">
        <x:f>IF(B7="paperback",2*E7+O7+2*Coefficients!$B$8,2*E7+O7+2*Coefficients!$B$12+2*Coefficients!$B$13)</x:f>
        <x:v>13.25</x:v>
      </x:c>
      <x:c r="J7" s="14" t="n">
        <x:f>I7-H7</x:f>
        <x:v>0</x:v>
      </x:c>
      <x:c r="K7" s="14" t="n">
        <x:v>9.25</x:v>
      </x:c>
      <x:c r="L7" s="14" t="n">
        <x:f>IF(B7="paperback",F7+2*Coefficients!$B$8,F7+2*Coefficients!$B$14)</x:f>
        <x:v>9.25</x:v>
      </x:c>
      <x:c r="M7" s="14" t="n">
        <x:f>L7-K7</x:f>
        <x:v>0</x:v>
      </x:c>
      <x:c r="N7" s="14" t="n">
        <x:v>1</x:v>
      </x:c>
      <x:c r="O7" s="14" t="n">
        <x:f>G7*VLOOKUP(C7&amp;"|"&amp;D7,Coefficients!$A$2:$D$5,4,FALSE)+IF(B7="hardcover",Coefficients!$B$11,0)</x:f>
        <x:v>1</x:v>
      </x:c>
      <x:c r="P7" s="14" t="n">
        <x:f>O7-N7</x:f>
        <x:v>0</x:v>
      </x:c>
      <x:c r="Q7" s="14" t="str">
        <x:f>IF(AND(ABS(J7)&lt;=0.001,ABS(M7)&lt;=0.001,ABS(P7)&lt;=0.001),"OK","CHECK")</x:f>
        <x:v>OK</x:v>
      </x:c>
    </x:row>
    <x:row r="8">
      <x:c r="A8" s="14" t="n">
        <x:v>7</x:v>
      </x:c>
      <x:c r="B8" s="14" t="str">
        <x:v>paperback</x:v>
      </x:c>
      <x:c r="C8" s="14" t="str">
        <x:v>black_and_white</x:v>
      </x:c>
      <x:c r="D8" s="14" t="str">
        <x:v>white</x:v>
      </x:c>
      <x:c r="E8" s="14" t="n">
        <x:v>6</x:v>
      </x:c>
      <x:c r="F8" s="14" t="n">
        <x:v>9</x:v>
      </x:c>
      <x:c r="G8" s="14" t="n">
        <x:v>400</x:v>
      </x:c>
      <x:c r="H8" s="14" t="n">
        <x:v>13.151</x:v>
      </x:c>
      <x:c r="I8" s="14" t="n">
        <x:f>IF(B8="paperback",2*E8+O8+2*Coefficients!$B$8,2*E8+O8+2*Coefficients!$B$12+2*Coefficients!$B$13)</x:f>
        <x:v>13.1508</x:v>
      </x:c>
      <x:c r="J8" s="14" t="n">
        <x:f>I8-H8</x:f>
        <x:v>-0.00019999999999953388</x:v>
      </x:c>
      <x:c r="K8" s="14" t="n">
        <x:v>9.25</x:v>
      </x:c>
      <x:c r="L8" s="14" t="n">
        <x:f>IF(B8="paperback",F8+2*Coefficients!$B$8,F8+2*Coefficients!$B$14)</x:f>
        <x:v>9.25</x:v>
      </x:c>
      <x:c r="M8" s="14" t="n">
        <x:f>L8-K8</x:f>
        <x:v>0</x:v>
      </x:c>
      <x:c r="N8" s="14" t="n">
        <x:v>0.901</x:v>
      </x:c>
      <x:c r="O8" s="14" t="n">
        <x:f>G8*VLOOKUP(C8&amp;"|"&amp;D8,Coefficients!$A$2:$D$5,4,FALSE)+IF(B8="hardcover",Coefficients!$B$11,0)</x:f>
        <x:v>0.9008</x:v>
      </x:c>
      <x:c r="P8" s="14" t="n">
        <x:f>O8-N8</x:f>
        <x:v>-0.00019999999999997797</x:v>
      </x:c>
      <x:c r="Q8" s="14" t="str">
        <x:f>IF(AND(ABS(J8)&lt;=0.001,ABS(M8)&lt;=0.001,ABS(P8)&lt;=0.001),"OK","CHECK")</x:f>
        <x:v>OK</x:v>
      </x:c>
    </x:row>
    <x:row r="9">
      <x:c r="A9" s="14" t="n">
        <x:v>8</x:v>
      </x:c>
      <x:c r="B9" s="14" t="str">
        <x:v>paperback</x:v>
      </x:c>
      <x:c r="C9" s="14" t="str">
        <x:v>black_and_white</x:v>
      </x:c>
      <x:c r="D9" s="14" t="str">
        <x:v>white</x:v>
      </x:c>
      <x:c r="E9" s="14" t="n">
        <x:v>6</x:v>
      </x:c>
      <x:c r="F9" s="14" t="n">
        <x:v>9</x:v>
      </x:c>
      <x:c r="G9" s="14" t="n">
        <x:v>76</x:v>
      </x:c>
      <x:c r="H9" s="14" t="n">
        <x:v>12.421</x:v>
      </x:c>
      <x:c r="I9" s="14" t="n">
        <x:f>IF(B9="paperback",2*E9+O9+2*Coefficients!$B$8,2*E9+O9+2*Coefficients!$B$12+2*Coefficients!$B$13)</x:f>
        <x:v>12.421152</x:v>
      </x:c>
      <x:c r="J9" s="14" t="n">
        <x:f>I9-H9</x:f>
        <x:v>0.00015199999999992997</x:v>
      </x:c>
      <x:c r="K9" s="14" t="n">
        <x:v>9.25</x:v>
      </x:c>
      <x:c r="L9" s="14" t="n">
        <x:f>IF(B9="paperback",F9+2*Coefficients!$B$8,F9+2*Coefficients!$B$14)</x:f>
        <x:v>9.25</x:v>
      </x:c>
      <x:c r="M9" s="14" t="n">
        <x:f>L9-K9</x:f>
        <x:v>0</x:v>
      </x:c>
      <x:c r="N9" s="14" t="n">
        <x:v>0.171</x:v>
      </x:c>
      <x:c r="O9" s="14" t="n">
        <x:f>G9*VLOOKUP(C9&amp;"|"&amp;D9,Coefficients!$A$2:$D$5,4,FALSE)+IF(B9="hardcover",Coefficients!$B$11,0)</x:f>
        <x:v>0.171152</x:v>
      </x:c>
      <x:c r="P9" s="14" t="n">
        <x:f>O9-N9</x:f>
        <x:v>0.00015199999999998548</x:v>
      </x:c>
      <x:c r="Q9" s="14" t="str">
        <x:f>IF(AND(ABS(J9)&lt;=0.001,ABS(M9)&lt;=0.001,ABS(P9)&lt;=0.001),"OK","CHECK")</x:f>
        <x:v>OK</x:v>
      </x:c>
    </x:row>
    <x:row r="10">
      <x:c r="A10" s="14" t="n">
        <x:v>9</x:v>
      </x:c>
      <x:c r="B10" s="14" t="str">
        <x:v>hardcover</x:v>
      </x:c>
      <x:c r="C10" s="14" t="str">
        <x:v>premium_color</x:v>
      </x:c>
      <x:c r="D10" s="14" t="str">
        <x:v>white</x:v>
      </x:c>
      <x:c r="E10" s="14" t="n">
        <x:v>6</x:v>
      </x:c>
      <x:c r="F10" s="14" t="n">
        <x:v>9</x:v>
      </x:c>
      <x:c r="G10" s="14" t="n">
        <x:v>76</x:v>
      </x:c>
      <x:c r="H10" s="14" t="n">
        <x:v>13.942</x:v>
      </x:c>
      <x:c r="I10" s="14" t="n">
        <x:f>IF(B10="paperback",2*E10+O10+2*Coefficients!$B$8,2*E10+O10+2*Coefficients!$B$12+2*Coefficients!$B$13)</x:f>
        <x:v>13.942372</x:v>
      </x:c>
      <x:c r="J10" s="14" t="n">
        <x:f>I10-H10</x:f>
        <x:v>0.00037200000000048306</x:v>
      </x:c>
      <x:c r="K10" s="14" t="n">
        <x:v>10.417</x:v>
      </x:c>
      <x:c r="L10" s="14" t="n">
        <x:f>IF(B10="paperback",F10+2*Coefficients!$B$8,F10+2*Coefficients!$B$14)</x:f>
        <x:v>10.417</x:v>
      </x:c>
      <x:c r="M10" s="14" t="n">
        <x:f>L10-K10</x:f>
        <x:v>0</x:v>
      </x:c>
      <x:c r="N10" s="14" t="n">
        <x:v>0.367</x:v>
      </x:c>
      <x:c r="O10" s="14" t="n">
        <x:f>G10*VLOOKUP(C10&amp;"|"&amp;D10,Coefficients!$A$2:$D$5,4,FALSE)+IF(B10="hardcover",Coefficients!$B$11,0)</x:f>
        <x:v>0.36737200000000003</x:v>
      </x:c>
      <x:c r="P10" s="14" t="n">
        <x:f>O10-N10</x:f>
        <x:v>0.00037200000000003897</x:v>
      </x:c>
      <x:c r="Q10" s="14" t="str">
        <x:f>IF(AND(ABS(J10)&lt;=0.001,ABS(M10)&lt;=0.001,ABS(P10)&lt;=0.001),"OK","CHECK")</x:f>
        <x:v>OK</x:v>
      </x:c>
    </x:row>
    <x:row r="11">
      <x:c r="A11" s="14" t="n">
        <x:v>10</x:v>
      </x:c>
      <x:c r="B11" s="14" t="str">
        <x:v>hardcover</x:v>
      </x:c>
      <x:c r="C11" s="14" t="str">
        <x:v>premium_color</x:v>
      </x:c>
      <x:c r="D11" s="14" t="str">
        <x:v>white</x:v>
      </x:c>
      <x:c r="E11" s="14" t="n">
        <x:v>6</x:v>
      </x:c>
      <x:c r="F11" s="14" t="n">
        <x:v>9</x:v>
      </x:c>
      <x:c r="G11" s="14" t="n">
        <x:v>400</x:v>
      </x:c>
      <x:c r="H11" s="14" t="n">
        <x:v>14.703</x:v>
      </x:c>
      <x:c r="I11" s="14" t="n">
        <x:f>IF(B11="paperback",2*E11+O11+2*Coefficients!$B$8,2*E11+O11+2*Coefficients!$B$12+2*Coefficients!$B$13)</x:f>
        <x:v>14.702800000000002</x:v>
      </x:c>
      <x:c r="J11" s="14" t="n">
        <x:f>I11-H11</x:f>
        <x:v>-0.00019999999999775753</x:v>
      </x:c>
      <x:c r="K11" s="14" t="n">
        <x:v>10.417</x:v>
      </x:c>
      <x:c r="L11" s="14" t="n">
        <x:f>IF(B11="paperback",F11+2*Coefficients!$B$8,F11+2*Coefficients!$B$14)</x:f>
        <x:v>10.417</x:v>
      </x:c>
      <x:c r="M11" s="14" t="n">
        <x:f>L11-K11</x:f>
        <x:v>0</x:v>
      </x:c>
      <x:c r="N11" s="14" t="n">
        <x:v>1.128</x:v>
      </x:c>
      <x:c r="O11" s="14" t="n">
        <x:f>G11*VLOOKUP(C11&amp;"|"&amp;D11,Coefficients!$A$2:$D$5,4,FALSE)+IF(B11="hardcover",Coefficients!$B$11,0)</x:f>
        <x:v>1.1278000000000001</x:v>
      </x:c>
      <x:c r="P11" s="14" t="n">
        <x:f>O11-N11</x:f>
        <x:v>-0.00019999999999975593</x:v>
      </x:c>
      <x:c r="Q11" s="14" t="str">
        <x:f>IF(AND(ABS(J11)&lt;=0.001,ABS(M11)&lt;=0.001,ABS(P11)&lt;=0.001),"OK","CHECK")</x:f>
        <x:v>OK</x:v>
      </x:c>
    </x:row>
    <x:row r="12">
      <x:c r="A12" s="14" t="n">
        <x:v>11</x:v>
      </x:c>
      <x:c r="B12" s="14" t="str">
        <x:v>paperback</x:v>
      </x:c>
      <x:c r="C12" s="14" t="str">
        <x:v>premium_color</x:v>
      </x:c>
      <x:c r="D12" s="14" t="str">
        <x:v>white</x:v>
      </x:c>
      <x:c r="E12" s="14" t="n">
        <x:v>6</x:v>
      </x:c>
      <x:c r="F12" s="14" t="n">
        <x:v>9</x:v>
      </x:c>
      <x:c r="G12" s="14" t="n">
        <x:v>400</x:v>
      </x:c>
      <x:c r="H12" s="14" t="n">
        <x:v>13.189</x:v>
      </x:c>
      <x:c r="I12" s="14" t="n">
        <x:f>IF(B12="paperback",2*E12+O12+2*Coefficients!$B$8,2*E12+O12+2*Coefficients!$B$12+2*Coefficients!$B$13)</x:f>
        <x:v>13.1888</x:v>
      </x:c>
      <x:c r="J12" s="14" t="n">
        <x:f>I12-H12</x:f>
        <x:v>-0.00019999999999953388</x:v>
      </x:c>
      <x:c r="K12" s="14" t="n">
        <x:v>9.25</x:v>
      </x:c>
      <x:c r="L12" s="14" t="n">
        <x:f>IF(B12="paperback",F12+2*Coefficients!$B$8,F12+2*Coefficients!$B$14)</x:f>
        <x:v>9.25</x:v>
      </x:c>
      <x:c r="M12" s="14" t="n">
        <x:f>L12-K12</x:f>
        <x:v>0</x:v>
      </x:c>
      <x:c r="N12" s="14" t="n">
        <x:v>0.939</x:v>
      </x:c>
      <x:c r="O12" s="14" t="n">
        <x:f>G12*VLOOKUP(C12&amp;"|"&amp;D12,Coefficients!$A$2:$D$5,4,FALSE)+IF(B12="hardcover",Coefficients!$B$11,0)</x:f>
        <x:v>0.9388000000000001</x:v>
      </x:c>
      <x:c r="P12" s="14" t="n">
        <x:f>O12-N12</x:f>
        <x:v>-0.00019999999999986695</x:v>
      </x:c>
      <x:c r="Q12" s="14" t="str">
        <x:f>IF(AND(ABS(J12)&lt;=0.001,ABS(M12)&lt;=0.001,ABS(P12)&lt;=0.001),"OK","CHECK")</x:f>
        <x:v>OK</x:v>
      </x:c>
    </x:row>
    <x:row r="13">
      <x:c r="A13" s="14" t="n">
        <x:v>12</x:v>
      </x:c>
      <x:c r="B13" s="14" t="str">
        <x:v>paperback</x:v>
      </x:c>
      <x:c r="C13" s="14" t="str">
        <x:v>premium_color</x:v>
      </x:c>
      <x:c r="D13" s="14" t="str">
        <x:v>white</x:v>
      </x:c>
      <x:c r="E13" s="14" t="n">
        <x:v>6</x:v>
      </x:c>
      <x:c r="F13" s="14" t="n">
        <x:v>9</x:v>
      </x:c>
      <x:c r="G13" s="14" t="n">
        <x:v>76</x:v>
      </x:c>
      <x:c r="H13" s="14" t="n">
        <x:v>12.428</x:v>
      </x:c>
      <x:c r="I13" s="14" t="n">
        <x:f>IF(B13="paperback",2*E13+O13+2*Coefficients!$B$8,2*E13+O13+2*Coefficients!$B$12+2*Coefficients!$B$13)</x:f>
        <x:v>12.428372</x:v>
      </x:c>
      <x:c r="J13" s="14" t="n">
        <x:f>I13-H13</x:f>
        <x:v>0.0003719999999987067</x:v>
      </x:c>
      <x:c r="K13" s="14" t="n">
        <x:v>9.25</x:v>
      </x:c>
      <x:c r="L13" s="14" t="n">
        <x:f>IF(B13="paperback",F13+2*Coefficients!$B$8,F13+2*Coefficients!$B$14)</x:f>
        <x:v>9.25</x:v>
      </x:c>
      <x:c r="M13" s="14" t="n">
        <x:f>L13-K13</x:f>
        <x:v>0</x:v>
      </x:c>
      <x:c r="N13" s="14" t="n">
        <x:v>0.178</x:v>
      </x:c>
      <x:c r="O13" s="14" t="n">
        <x:f>G13*VLOOKUP(C13&amp;"|"&amp;D13,Coefficients!$A$2:$D$5,4,FALSE)+IF(B13="hardcover",Coefficients!$B$11,0)</x:f>
        <x:v>0.178372</x:v>
      </x:c>
      <x:c r="P13" s="14" t="n">
        <x:f>O13-N13</x:f>
        <x:v>0.0003720000000000112</x:v>
      </x:c>
      <x:c r="Q13" s="14" t="str">
        <x:f>IF(AND(ABS(J13)&lt;=0.001,ABS(M13)&lt;=0.001,ABS(P13)&lt;=0.001),"OK","CHECK")</x:f>
        <x:v>OK</x:v>
      </x:c>
    </x:row>
    <x:row r="14">
      <x:c r="A14" s="14" t="n">
        <x:v>13</x:v>
      </x:c>
      <x:c r="B14" s="14" t="str">
        <x:v>paperback</x:v>
      </x:c>
      <x:c r="C14" s="14" t="str">
        <x:v>standard_color</x:v>
      </x:c>
      <x:c r="D14" s="14" t="str">
        <x:v>white</x:v>
      </x:c>
      <x:c r="E14" s="14" t="n">
        <x:v>6</x:v>
      </x:c>
      <x:c r="F14" s="14" t="n">
        <x:v>9</x:v>
      </x:c>
      <x:c r="G14" s="14" t="n">
        <x:v>76</x:v>
      </x:c>
      <x:c r="H14" s="14" t="n">
        <x:v>12.421</x:v>
      </x:c>
      <x:c r="I14" s="14" t="n">
        <x:f>IF(B14="paperback",2*E14+O14+2*Coefficients!$B$8,2*E14+O14+2*Coefficients!$B$12+2*Coefficients!$B$13)</x:f>
        <x:v>12.421152</x:v>
      </x:c>
      <x:c r="J14" s="14" t="n">
        <x:f>I14-H14</x:f>
        <x:v>0.00015199999999992997</x:v>
      </x:c>
      <x:c r="K14" s="14" t="n">
        <x:v>9.25</x:v>
      </x:c>
      <x:c r="L14" s="14" t="n">
        <x:f>IF(B14="paperback",F14+2*Coefficients!$B$8,F14+2*Coefficients!$B$14)</x:f>
        <x:v>9.25</x:v>
      </x:c>
      <x:c r="M14" s="14" t="n">
        <x:f>L14-K14</x:f>
        <x:v>0</x:v>
      </x:c>
      <x:c r="N14" s="14" t="n">
        <x:v>0.171</x:v>
      </x:c>
      <x:c r="O14" s="14" t="n">
        <x:f>G14*VLOOKUP(C14&amp;"|"&amp;D14,Coefficients!$A$2:$D$5,4,FALSE)+IF(B14="hardcover",Coefficients!$B$11,0)</x:f>
        <x:v>0.171152</x:v>
      </x:c>
      <x:c r="P14" s="14" t="n">
        <x:f>O14-N14</x:f>
        <x:v>0.00015199999999998548</x:v>
      </x:c>
      <x:c r="Q14" s="14" t="str">
        <x:f>IF(AND(ABS(J14)&lt;=0.001,ABS(M14)&lt;=0.001,ABS(P14)&lt;=0.001),"OK","CHECK")</x:f>
        <x:v>OK</x:v>
      </x:c>
    </x:row>
    <x:row r="15">
      <x:c r="A15" s="14" t="n">
        <x:v>14</x:v>
      </x:c>
      <x:c r="B15" s="14" t="str">
        <x:v>paperback</x:v>
      </x:c>
      <x:c r="C15" s="14" t="str">
        <x:v>standard_color</x:v>
      </x:c>
      <x:c r="D15" s="14" t="str">
        <x:v>white</x:v>
      </x:c>
      <x:c r="E15" s="14" t="n">
        <x:v>6</x:v>
      </x:c>
      <x:c r="F15" s="14" t="n">
        <x:v>9</x:v>
      </x:c>
      <x:c r="G15" s="14" t="n">
        <x:v>400</x:v>
      </x:c>
      <x:c r="H15" s="14" t="n">
        <x:v>13.151</x:v>
      </x:c>
      <x:c r="I15" s="14" t="n">
        <x:f>IF(B15="paperback",2*E15+O15+2*Coefficients!$B$8,2*E15+O15+2*Coefficients!$B$12+2*Coefficients!$B$13)</x:f>
        <x:v>13.1508</x:v>
      </x:c>
      <x:c r="J15" s="14" t="n">
        <x:f>I15-H15</x:f>
        <x:v>-0.00019999999999953388</x:v>
      </x:c>
      <x:c r="K15" s="14" t="n">
        <x:v>9.25</x:v>
      </x:c>
      <x:c r="L15" s="14" t="n">
        <x:f>IF(B15="paperback",F15+2*Coefficients!$B$8,F15+2*Coefficients!$B$14)</x:f>
        <x:v>9.25</x:v>
      </x:c>
      <x:c r="M15" s="14" t="n">
        <x:f>L15-K15</x:f>
        <x:v>0</x:v>
      </x:c>
      <x:c r="N15" s="14" t="n">
        <x:v>0.901</x:v>
      </x:c>
      <x:c r="O15" s="14" t="n">
        <x:f>G15*VLOOKUP(C15&amp;"|"&amp;D15,Coefficients!$A$2:$D$5,4,FALSE)+IF(B15="hardcover",Coefficients!$B$11,0)</x:f>
        <x:v>0.9008</x:v>
      </x:c>
      <x:c r="P15" s="14" t="n">
        <x:f>O15-N15</x:f>
        <x:v>-0.00019999999999997797</x:v>
      </x:c>
      <x:c r="Q15" s="14" t="str">
        <x:f>IF(AND(ABS(J15)&lt;=0.001,ABS(M15)&lt;=0.001,ABS(P15)&lt;=0.001),"OK","CHECK")</x:f>
        <x:v>OK</x:v>
      </x:c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  <x:c r="K16" s="15"/>
      <x:c r="L16" s="15"/>
      <x:c r="M16" s="15"/>
      <x:c r="N16" s="15"/>
      <x:c r="O16" s="15"/>
      <x:c r="P16" s="15"/>
      <x:c r="Q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  <x:c r="L17" s="15"/>
      <x:c r="M17" s="15"/>
      <x:c r="N17" s="15"/>
      <x:c r="O17" s="15"/>
      <x:c r="P17" s="15"/>
      <x:c r="Q17" s="15"/>
    </x:row>
  </x:sheetData>
  <x:conditionalFormatting sqref="Q2:Q15">
    <x:cfRule type="expression" dxfId="0" priority="1">
      <x:formula>$Q2="CHECK"</x:formula>
    </x:cfRule>
    <x:cfRule type="expression" dxfId="1" priority="2">
      <x:formula>$Q2="OK"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865a68927d840b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0" hidden="0" customWidth="1"/>
  </x:cols>
  <x:sheetData>
    <x:row r="1">
      <x:c r="A1" s="24" t="str">
        <x:v>KDP Cover Calculator Raw Data</x:v>
      </x:c>
      <x:c r="B1" s="24"/>
    </x:row>
    <x:row r="2">
      <x:c r="A2" s="25" t="str">
        <x:v>Scope</x:v>
      </x:c>
      <x:c r="B2" s="12" t="str">
        <x:v>6×9 in trim, inches, left-to-right, KDP calculator screenshots captured in this conversation.</x:v>
      </x:c>
    </x:row>
    <x:row r="3">
      <x:c r="A3" s="25" t="str">
        <x:v>Validated bindings</x:v>
      </x:c>
      <x:c r="B3" s="12" t="str">
        <x:v>paperback, hardcover case laminate</x:v>
      </x:c>
    </x:row>
    <x:row r="4">
      <x:c r="A4" s="25" t="str">
        <x:v>Validated interiors</x:v>
      </x:c>
      <x:c r="B4" s="12" t="str">
        <x:v>black_and_white, standard_color, premium_color</x:v>
      </x:c>
    </x:row>
    <x:row r="5">
      <x:c r="A5" s="25" t="str">
        <x:v>Validated papers</x:v>
      </x:c>
      <x:c r="B5" s="12" t="str">
        <x:v>black_and_white supports white and cream; standard_color and premium_color are white-paper captures only.</x:v>
      </x:c>
    </x:row>
    <x:row r="6">
      <x:c r="A6" s="25" t="str">
        <x:v>Formula summary</x:v>
      </x:c>
      <x:c r="B6" s="12" t="str">
        <x:v>Paperback spine = page_count × paper_thickness. Hardcover spine = page_count × paper_thickness + 0.189.</x:v>
      </x:c>
    </x:row>
    <x:row r="7">
      <x:c r="A7" s="25" t="str">
        <x:v>Paperback full size</x:v>
      </x:c>
      <x:c r="B7" s="12" t="str">
        <x:v>width = 2×trim_width + spine + 2×0.125; height = trim_height + 2×0.125.</x:v>
      </x:c>
    </x:row>
    <x:row r="8">
      <x:c r="A8" s="25" t="str">
        <x:v>Hardcover full size</x:v>
      </x:c>
      <x:c r="B8" s="12" t="str">
        <x:v>width = 2×trim_width + spine + 2×0.5905 + 2×0.197; height = trim_height + 2×0.7085.</x:v>
      </x:c>
    </x:row>
    <x:row r="9">
      <x:c r="A9" s="25" t="str">
        <x:v>Standard color</x:v>
      </x:c>
      <x:c r="B9" s="12" t="str">
        <x:v>The supplied standard-color screenshots match B&amp;W white stock: 0.002252 in/page.</x:v>
      </x:c>
    </x:row>
    <x:row r="10">
      <x:c r="A10" s="25" t="str">
        <x:v>Future enhancement</x:v>
      </x:c>
      <x:c r="B10" s="12" t="str">
        <x:v>Add more trim sizes/interior types by adding raw KDP captures and extending the coefficient/constant tables.</x:v>
      </x:c>
    </x:row>
  </x:sheetData>
  <x:pageMargins left="0.7" right="0.7" top="0.75" bottom="0.75" header="0.3" footer="0.3"/>
</x:worksheet>
</file>