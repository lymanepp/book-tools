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b62b09c78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19ef41a4c1ef4ec9"/>
    <x:sheet xmlns:r="http://schemas.openxmlformats.org/officeDocument/2006/relationships" name="Coefficients" sheetId="2" r:id="Rc3f87a7b3fc44dfe"/>
    <x:sheet xmlns:r="http://schemas.openxmlformats.org/officeDocument/2006/relationships" name="Validation" sheetId="3" r:id="R4484d8501aa5473a"/>
    <x:sheet xmlns:r="http://schemas.openxmlformats.org/officeDocument/2006/relationships" name="Notes" sheetId="4" r:id="R8fdafea1286a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61f7ad7c04cca" /><Relationship Type="http://schemas.openxmlformats.org/officeDocument/2006/relationships/theme" Target="/xl/theme/theme1.xml" Id="R7104826c09f042a9" /><Relationship Type="http://schemas.openxmlformats.org/officeDocument/2006/relationships/sharedStrings" Target="/xl/sharedStrings.xml" Id="R9a22aaac926f4740" /><Relationship Type="http://schemas.openxmlformats.org/officeDocument/2006/relationships/worksheet" Target="/xl/worksheets/sheet1.xml" Id="R19ef41a4c1ef4ec9" /><Relationship Type="http://schemas.openxmlformats.org/officeDocument/2006/relationships/worksheet" Target="/xl/worksheets/sheet2.xml" Id="Rc3f87a7b3fc44dfe" /><Relationship Type="http://schemas.openxmlformats.org/officeDocument/2006/relationships/worksheet" Target="/xl/worksheets/sheet3.xml" Id="R4484d8501aa5473a" /><Relationship Type="http://schemas.openxmlformats.org/officeDocument/2006/relationships/worksheet" Target="/xl/worksheets/sheet4.xml" Id="R8fdafea1286a4915" /></Relationships>
</file>

<file path=xl/tables/table1.xml><?xml version="1.0" encoding="utf-8"?>
<x:table xmlns:x="http://schemas.openxmlformats.org/spreadsheetml/2006/main" id="1" name="KdpRawData" displayName="KdpRawData" ref="A1:AG13" headerRowCount="1">
  <x:tableColumns count="33">
    <x:tableColumn id="1" name="Capture"/>
    <x:tableColumn id="2" name="Image File"/>
    <x:tableColumn id="3" name="Binding"/>
    <x:tableColumn id="4" name="Interior Type"/>
    <x:tableColumn id="5" name="Paper Type"/>
    <x:tableColumn id="6" name="Reading Direction"/>
    <x:tableColumn id="7" name="Units"/>
    <x:tableColumn id="8" name="Trim W"/>
    <x:tableColumn id="9" name="Trim H"/>
    <x:tableColumn id="10" name="Page Count"/>
    <x:tableColumn id="11" name="Full Cover W"/>
    <x:tableColumn id="12" name="Full Cover H"/>
    <x:tableColumn id="13" name="Front Cover W"/>
    <x:tableColumn id="14" name="Front Cover H"/>
    <x:tableColumn id="15" name="Safe Area W"/>
    <x:tableColumn id="16" name="Safe Area H"/>
    <x:tableColumn id="17" name="Bleed W"/>
    <x:tableColumn id="18" name="Bleed H"/>
    <x:tableColumn id="19" name="Margin W"/>
    <x:tableColumn id="20" name="Margin H"/>
    <x:tableColumn id="21" name="Wrap W"/>
    <x:tableColumn id="22" name="Wrap H"/>
    <x:tableColumn id="23" name="Hinge W"/>
    <x:tableColumn id="24" name="Hinge H"/>
    <x:tableColumn id="25" name="Spine W"/>
    <x:tableColumn id="26" name="Spine H"/>
    <x:tableColumn id="27" name="Spine Safe W"/>
    <x:tableColumn id="28" name="Spine Safe H"/>
    <x:tableColumn id="29" name="Spine Margin W"/>
    <x:tableColumn id="30" name="Spine Margin H"/>
    <x:tableColumn id="31" name="Barcode Margin W"/>
    <x:tableColumn id="32" name="Barcode Margin H"/>
    <x:tableColumn id="3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KdpCoefficients" displayName="KdpCoefficients" ref="A1:D16" headerRowCount="1">
  <x:tableColumns count="4">
    <x:tableColumn id="1" name="Category"/>
    <x:tableColumn id="2" name="Value"/>
    <x:tableColumn id="3" name="Units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KdpValidation" displayName="KdpValidation" ref="A1:AC13" headerRowCount="1">
  <x:tableColumns count="29">
    <x:tableColumn id="1" name="Capture"/>
    <x:tableColumn id="2" name="Binding"/>
    <x:tableColumn id="3" name="Interior Type"/>
    <x:tableColumn id="4" name="Paper Type"/>
    <x:tableColumn id="5" name="Trim W"/>
    <x:tableColumn id="6" name="Trim H"/>
    <x:tableColumn id="7" name="Pages"/>
    <x:tableColumn id="8" name="Observed Spine"/>
    <x:tableColumn id="9" name="Calc Spine"/>
    <x:tableColumn id="10" name="Δ Spine"/>
    <x:tableColumn id="11" name="Observed Full W"/>
    <x:tableColumn id="12" name="Calc Full W"/>
    <x:tableColumn id="13" name="Δ Full W"/>
    <x:tableColumn id="14" name="Observed Full H"/>
    <x:tableColumn id="15" name="Calc Full H"/>
    <x:tableColumn id="16" name="Δ Full H"/>
    <x:tableColumn id="17" name="Observed Front W"/>
    <x:tableColumn id="18" name="Calc Front W"/>
    <x:tableColumn id="19" name="Δ Front W"/>
    <x:tableColumn id="20" name="Observed Front H"/>
    <x:tableColumn id="21" name="Calc Front H"/>
    <x:tableColumn id="22" name="Δ Front H"/>
    <x:tableColumn id="23" name="Observed Spine Safe W"/>
    <x:tableColumn id="24" name="Calc Spine Safe W"/>
    <x:tableColumn id="25" name="Δ Spine Safe W"/>
    <x:tableColumn id="26" name="Observed Spine Safe H"/>
    <x:tableColumn id="27" name="Calc Spine Safe H"/>
    <x:tableColumn id="28" name="Δ Spine Safe H"/>
    <x:tableColumn id="29" name="Pass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3d7ca6db34a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f7f6906e3a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a740728a954f50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40" hidden="0" customWidth="1"/>
  </x:cols>
  <x:sheetData>
    <x:row r="1">
      <x:c r="A1" s="10" t="str">
        <x:v>Capture</x:v>
      </x:c>
      <x:c r="B1" s="10" t="str">
        <x:v>Image File</x:v>
      </x:c>
      <x:c r="C1" s="10" t="str">
        <x:v>Binding</x:v>
      </x:c>
      <x:c r="D1" s="10" t="str">
        <x:v>Interior Type</x:v>
      </x:c>
      <x:c r="E1" s="10" t="str">
        <x:v>Paper Type</x:v>
      </x:c>
      <x:c r="F1" s="10" t="str">
        <x:v>Reading Direction</x:v>
      </x:c>
      <x:c r="G1" s="10" t="str">
        <x:v>Units</x:v>
      </x:c>
      <x:c r="H1" s="12" t="str">
        <x:v>Trim W</x:v>
      </x:c>
      <x:c r="I1" s="12" t="str">
        <x:v>Trim H</x:v>
      </x:c>
      <x:c r="J1" s="12" t="str">
        <x:v>Page Count</x:v>
      </x:c>
      <x:c r="K1" s="12" t="str">
        <x:v>Full Cover W</x:v>
      </x:c>
      <x:c r="L1" s="12" t="str">
        <x:v>Full Cover H</x:v>
      </x:c>
      <x:c r="M1" s="12" t="str">
        <x:v>Front Cover W</x:v>
      </x:c>
      <x:c r="N1" s="12" t="str">
        <x:v>Front Cover H</x:v>
      </x:c>
      <x:c r="O1" s="12" t="str">
        <x:v>Safe Area W</x:v>
      </x:c>
      <x:c r="P1" s="12" t="str">
        <x:v>Safe Area H</x:v>
      </x:c>
      <x:c r="Q1" s="12" t="str">
        <x:v>Bleed W</x:v>
      </x:c>
      <x:c r="R1" s="12" t="str">
        <x:v>Bleed H</x:v>
      </x:c>
      <x:c r="S1" s="12" t="str">
        <x:v>Margin W</x:v>
      </x:c>
      <x:c r="T1" s="12" t="str">
        <x:v>Margin H</x:v>
      </x:c>
      <x:c r="U1" s="12" t="str">
        <x:v>Wrap W</x:v>
      </x:c>
      <x:c r="V1" s="12" t="str">
        <x:v>Wrap H</x:v>
      </x:c>
      <x:c r="W1" s="12" t="str">
        <x:v>Hinge W</x:v>
      </x:c>
      <x:c r="X1" s="12" t="str">
        <x:v>Hinge H</x:v>
      </x:c>
      <x:c r="Y1" s="12" t="str">
        <x:v>Spine W</x:v>
      </x:c>
      <x:c r="Z1" s="12" t="str">
        <x:v>Spine H</x:v>
      </x:c>
      <x:c r="AA1" s="12" t="str">
        <x:v>Spine Safe W</x:v>
      </x:c>
      <x:c r="AB1" s="12" t="str">
        <x:v>Spine Safe H</x:v>
      </x:c>
      <x:c r="AC1" s="12" t="str">
        <x:v>Spine Margin W</x:v>
      </x:c>
      <x:c r="AD1" s="12" t="str">
        <x:v>Spine Margin H</x:v>
      </x:c>
      <x:c r="AE1" s="12" t="str">
        <x:v>Barcode Margin W</x:v>
      </x:c>
      <x:c r="AF1" s="12" t="str">
        <x:v>Barcode Margin H</x:v>
      </x:c>
      <x:c r="AG1" s="10" t="str">
        <x:v>Notes</x:v>
      </x:c>
    </x:row>
    <x:row r="2">
      <x:c r="A2" t="str">
        <x:v>BW-HC-WHITE-076</x:v>
      </x:c>
      <x:c r="B2" t="str">
        <x:v>image(39).png</x:v>
      </x:c>
      <x:c r="C2" t="str">
        <x:v>Hardcover</x:v>
      </x:c>
      <x:c r="D2" t="str">
        <x:v>Black &amp; white</x:v>
      </x:c>
      <x:c r="E2" t="str">
        <x:v>White paper</x:v>
      </x:c>
      <x:c r="F2" t="str">
        <x:v>Left to Right</x:v>
      </x:c>
      <x:c r="G2" t="str">
        <x:v>Inches</x:v>
      </x:c>
      <x:c r="H2" t="n">
        <x:v>6</x:v>
      </x:c>
      <x:c r="I2" t="n">
        <x:v>9</x:v>
      </x:c>
      <x:c r="J2" t="n">
        <x:v>76</x:v>
      </x:c>
      <x:c r="K2" t="n">
        <x:v>13.935</x:v>
      </x:c>
      <x:c r="L2" t="n">
        <x:v>10.417</x:v>
      </x:c>
      <x:c r="M2" t="n">
        <x:v>6.197</x:v>
      </x:c>
      <x:c r="N2" t="n">
        <x:v>9.236</x:v>
      </x:c>
      <x:c r="O2"/>
      <x:c r="P2"/>
      <x:c r="Q2"/>
      <x:c r="R2"/>
      <x:c r="S2" t="n">
        <x:v>0.125</x:v>
      </x:c>
      <x:c r="T2" t="n">
        <x:v>0.125</x:v>
      </x:c>
      <x:c r="U2" t="n">
        <x:v>0.591</x:v>
      </x:c>
      <x:c r="V2" t="n">
        <x:v>0.591</x:v>
      </x:c>
      <x:c r="W2" t="n">
        <x:v>0.394</x:v>
      </x:c>
      <x:c r="X2" t="n">
        <x:v>10.417</x:v>
      </x:c>
      <x:c r="Y2" t="n">
        <x:v>0.36</x:v>
      </x:c>
      <x:c r="Z2" t="n">
        <x:v>9.236</x:v>
      </x:c>
      <x:c r="AA2" t="n">
        <x:v>0.235</x:v>
      </x:c>
      <x:c r="AB2" t="n">
        <x:v>8.986</x:v>
      </x:c>
      <x:c r="AC2" t="n">
        <x:v>0.062</x:v>
      </x:c>
      <x:c r="AD2" t="n">
        <x:v>0.062</x:v>
      </x:c>
      <x:c r="AE2" t="n">
        <x:v>0.25</x:v>
      </x:c>
      <x:c r="AF2" t="n">
        <x:v>0.375</x:v>
      </x:c>
      <x:c r="AG2" t="str"/>
    </x:row>
    <x:row r="3">
      <x:c r="A3" t="str">
        <x:v>BW-HC-WHITE-400</x:v>
      </x:c>
      <x:c r="B3" t="str">
        <x:v>image(40).png</x:v>
      </x:c>
      <x:c r="C3" t="str">
        <x:v>Hardcover</x:v>
      </x:c>
      <x:c r="D3" t="str">
        <x:v>Black &amp; white</x:v>
      </x:c>
      <x:c r="E3" t="str">
        <x:v>White paper</x:v>
      </x:c>
      <x:c r="F3" t="str">
        <x:v>Left to Right</x:v>
      </x:c>
      <x:c r="G3" t="str">
        <x:v>Inches</x:v>
      </x:c>
      <x:c r="H3" t="n">
        <x:v>6</x:v>
      </x:c>
      <x:c r="I3" t="n">
        <x:v>9</x:v>
      </x:c>
      <x:c r="J3" t="n">
        <x:v>400</x:v>
      </x:c>
      <x:c r="K3" t="n">
        <x:v>14.665</x:v>
      </x:c>
      <x:c r="L3" t="n">
        <x:v>10.417</x:v>
      </x:c>
      <x:c r="M3" t="n">
        <x:v>6.197</x:v>
      </x:c>
      <x:c r="N3" t="n">
        <x:v>9.236</x:v>
      </x:c>
      <x:c r="O3"/>
      <x:c r="P3"/>
      <x:c r="Q3"/>
      <x:c r="R3"/>
      <x:c r="S3" t="n">
        <x:v>0.125</x:v>
      </x:c>
      <x:c r="T3" t="n">
        <x:v>0.125</x:v>
      </x:c>
      <x:c r="U3" t="n">
        <x:v>0.591</x:v>
      </x:c>
      <x:c r="V3" t="n">
        <x:v>0.591</x:v>
      </x:c>
      <x:c r="W3" t="n">
        <x:v>0.394</x:v>
      </x:c>
      <x:c r="X3" t="n">
        <x:v>10.417</x:v>
      </x:c>
      <x:c r="Y3" t="n">
        <x:v>1.09</x:v>
      </x:c>
      <x:c r="Z3" t="n">
        <x:v>9.236</x:v>
      </x:c>
      <x:c r="AA3" t="n">
        <x:v>0.965</x:v>
      </x:c>
      <x:c r="AB3" t="n">
        <x:v>8.986</x:v>
      </x:c>
      <x:c r="AC3" t="n">
        <x:v>0.062</x:v>
      </x:c>
      <x:c r="AD3" t="n">
        <x:v>0.062</x:v>
      </x:c>
      <x:c r="AE3" t="n">
        <x:v>0.25</x:v>
      </x:c>
      <x:c r="AF3" t="n">
        <x:v>0.375</x:v>
      </x:c>
      <x:c r="AG3" t="str"/>
    </x:row>
    <x:row r="4">
      <x:c r="A4" t="str">
        <x:v>BW-HC-CREAM-400</x:v>
      </x:c>
      <x:c r="B4" t="str">
        <x:v>image(41).png</x:v>
      </x:c>
      <x:c r="C4" t="str">
        <x:v>Hardcover</x:v>
      </x:c>
      <x:c r="D4" t="str">
        <x:v>Black &amp; white</x:v>
      </x:c>
      <x:c r="E4" t="str">
        <x:v>Cream paper</x:v>
      </x:c>
      <x:c r="F4" t="str">
        <x:v>Left to Right</x:v>
      </x:c>
      <x:c r="G4" t="str">
        <x:v>Inches</x:v>
      </x:c>
      <x:c r="H4" t="n">
        <x:v>6</x:v>
      </x:c>
      <x:c r="I4" t="n">
        <x:v>9</x:v>
      </x:c>
      <x:c r="J4" t="n">
        <x:v>400</x:v>
      </x:c>
      <x:c r="K4" t="n">
        <x:v>14.764</x:v>
      </x:c>
      <x:c r="L4" t="n">
        <x:v>10.417</x:v>
      </x:c>
      <x:c r="M4" t="n">
        <x:v>6.197</x:v>
      </x:c>
      <x:c r="N4" t="n">
        <x:v>9.236</x:v>
      </x:c>
      <x:c r="O4"/>
      <x:c r="P4"/>
      <x:c r="Q4"/>
      <x:c r="R4"/>
      <x:c r="S4" t="n">
        <x:v>0.125</x:v>
      </x:c>
      <x:c r="T4" t="n">
        <x:v>0.125</x:v>
      </x:c>
      <x:c r="U4" t="n">
        <x:v>0.591</x:v>
      </x:c>
      <x:c r="V4" t="n">
        <x:v>0.591</x:v>
      </x:c>
      <x:c r="W4" t="n">
        <x:v>0.394</x:v>
      </x:c>
      <x:c r="X4" t="n">
        <x:v>10.417</x:v>
      </x:c>
      <x:c r="Y4" t="n">
        <x:v>1.189</x:v>
      </x:c>
      <x:c r="Z4" t="n">
        <x:v>9.236</x:v>
      </x:c>
      <x:c r="AA4" t="n">
        <x:v>1.064</x:v>
      </x:c>
      <x:c r="AB4" t="n">
        <x:v>8.986</x:v>
      </x:c>
      <x:c r="AC4" t="n">
        <x:v>0.062</x:v>
      </x:c>
      <x:c r="AD4" t="n">
        <x:v>0.062</x:v>
      </x:c>
      <x:c r="AE4" t="n">
        <x:v>0.25</x:v>
      </x:c>
      <x:c r="AF4" t="n">
        <x:v>0.375</x:v>
      </x:c>
      <x:c r="AG4" t="str"/>
    </x:row>
    <x:row r="5">
      <x:c r="A5" t="str">
        <x:v>BW-HC-CREAM-076</x:v>
      </x:c>
      <x:c r="B5" t="str">
        <x:v>image(42).png</x:v>
      </x:c>
      <x:c r="C5" t="str">
        <x:v>Hardcover</x:v>
      </x:c>
      <x:c r="D5" t="str">
        <x:v>Black &amp; white</x:v>
      </x:c>
      <x:c r="E5" t="str">
        <x:v>Cream paper</x:v>
      </x:c>
      <x:c r="F5" t="str">
        <x:v>Left to Right</x:v>
      </x:c>
      <x:c r="G5" t="str">
        <x:v>Inches</x:v>
      </x:c>
      <x:c r="H5" t="n">
        <x:v>6</x:v>
      </x:c>
      <x:c r="I5" t="n">
        <x:v>9</x:v>
      </x:c>
      <x:c r="J5" t="n">
        <x:v>76</x:v>
      </x:c>
      <x:c r="K5" t="n">
        <x:v>13.954</x:v>
      </x:c>
      <x:c r="L5" t="n">
        <x:v>10.417</x:v>
      </x:c>
      <x:c r="M5" t="n">
        <x:v>6.197</x:v>
      </x:c>
      <x:c r="N5" t="n">
        <x:v>9.236</x:v>
      </x:c>
      <x:c r="O5"/>
      <x:c r="P5"/>
      <x:c r="Q5"/>
      <x:c r="R5"/>
      <x:c r="S5" t="n">
        <x:v>0.125</x:v>
      </x:c>
      <x:c r="T5" t="n">
        <x:v>0.125</x:v>
      </x:c>
      <x:c r="U5" t="n">
        <x:v>0.591</x:v>
      </x:c>
      <x:c r="V5" t="n">
        <x:v>0.591</x:v>
      </x:c>
      <x:c r="W5" t="n">
        <x:v>0.394</x:v>
      </x:c>
      <x:c r="X5" t="n">
        <x:v>10.417</x:v>
      </x:c>
      <x:c r="Y5" t="n">
        <x:v>0.379</x:v>
      </x:c>
      <x:c r="Z5" t="n">
        <x:v>9.236</x:v>
      </x:c>
      <x:c r="AA5" t="n">
        <x:v>0.254</x:v>
      </x:c>
      <x:c r="AB5" t="n">
        <x:v>8.986</x:v>
      </x:c>
      <x:c r="AC5" t="n">
        <x:v>0.062</x:v>
      </x:c>
      <x:c r="AD5" t="n">
        <x:v>0.062</x:v>
      </x:c>
      <x:c r="AE5" t="n">
        <x:v>0.25</x:v>
      </x:c>
      <x:c r="AF5" t="n">
        <x:v>0.375</x:v>
      </x:c>
      <x:c r="AG5" t="str"/>
    </x:row>
    <x:row r="6">
      <x:c r="A6" t="str">
        <x:v>BW-PB-CREAM-076</x:v>
      </x:c>
      <x:c r="B6" t="str">
        <x:v>image(43).png</x:v>
      </x:c>
      <x:c r="C6" t="str">
        <x:v>Paperback</x:v>
      </x:c>
      <x:c r="D6" t="str">
        <x:v>Black &amp; white</x:v>
      </x:c>
      <x:c r="E6" t="str">
        <x:v>Cream paper</x:v>
      </x:c>
      <x:c r="F6" t="str">
        <x:v>Left to Right</x:v>
      </x:c>
      <x:c r="G6" t="str">
        <x:v>Inches</x:v>
      </x:c>
      <x:c r="H6" t="n">
        <x:v>6</x:v>
      </x:c>
      <x:c r="I6" t="n">
        <x:v>9</x:v>
      </x:c>
      <x:c r="J6" t="n">
        <x:v>76</x:v>
      </x:c>
      <x:c r="K6" t="n">
        <x:v>12.44</x:v>
      </x:c>
      <x:c r="L6" t="n">
        <x:v>9.25</x:v>
      </x:c>
      <x:c r="M6" t="n">
        <x:v>6</x:v>
      </x:c>
      <x:c r="N6" t="n">
        <x:v>9</x:v>
      </x:c>
      <x:c r="O6" t="n">
        <x:v>5.875</x:v>
      </x:c>
      <x:c r="P6" t="n">
        <x:v>8.75</x:v>
      </x:c>
      <x:c r="Q6" t="n">
        <x:v>0.125</x:v>
      </x:c>
      <x:c r="R6" t="n">
        <x:v>0.125</x:v>
      </x:c>
      <x:c r="S6" t="n">
        <x:v>0.125</x:v>
      </x:c>
      <x:c r="T6" t="n">
        <x:v>0.125</x:v>
      </x:c>
      <x:c r="U6"/>
      <x:c r="V6"/>
      <x:c r="W6"/>
      <x:c r="X6"/>
      <x:c r="Y6" t="n">
        <x:v>0.19</x:v>
      </x:c>
      <x:c r="Z6" t="n">
        <x:v>9</x:v>
      </x:c>
      <x:c r="AA6" t="n">
        <x:v>0.065</x:v>
      </x:c>
      <x:c r="AB6" t="n">
        <x:v>8.75</x:v>
      </x:c>
      <x:c r="AC6" t="n">
        <x:v>0.062</x:v>
      </x:c>
      <x:c r="AD6" t="n">
        <x:v>0.062</x:v>
      </x:c>
      <x:c r="AE6" t="n">
        <x:v>0.25</x:v>
      </x:c>
      <x:c r="AF6" t="n">
        <x:v>0.25</x:v>
      </x:c>
      <x:c r="AG6" t="str"/>
    </x:row>
    <x:row r="7">
      <x:c r="A7" t="str">
        <x:v>BW-PB-CREAM-400</x:v>
      </x:c>
      <x:c r="B7" t="str">
        <x:v>image(44).png</x:v>
      </x:c>
      <x:c r="C7" t="str">
        <x:v>Paperback</x:v>
      </x:c>
      <x:c r="D7" t="str">
        <x:v>Black &amp; white</x:v>
      </x:c>
      <x:c r="E7" t="str">
        <x:v>Cream paper</x:v>
      </x:c>
      <x:c r="F7" t="str">
        <x:v>Left to Right</x:v>
      </x:c>
      <x:c r="G7" t="str">
        <x:v>Inches</x:v>
      </x:c>
      <x:c r="H7" t="n">
        <x:v>6</x:v>
      </x:c>
      <x:c r="I7" t="n">
        <x:v>9</x:v>
      </x:c>
      <x:c r="J7" t="n">
        <x:v>400</x:v>
      </x:c>
      <x:c r="K7" t="n">
        <x:v>13.25</x:v>
      </x:c>
      <x:c r="L7" t="n">
        <x:v>9.25</x:v>
      </x:c>
      <x:c r="M7" t="n">
        <x:v>6</x:v>
      </x:c>
      <x:c r="N7" t="n">
        <x:v>9</x:v>
      </x:c>
      <x:c r="O7" t="n">
        <x:v>5.875</x:v>
      </x:c>
      <x:c r="P7" t="n">
        <x:v>8.75</x:v>
      </x:c>
      <x:c r="Q7" t="n">
        <x:v>0.125</x:v>
      </x:c>
      <x:c r="R7" t="n">
        <x:v>0.125</x:v>
      </x:c>
      <x:c r="S7" t="n">
        <x:v>0.125</x:v>
      </x:c>
      <x:c r="T7" t="n">
        <x:v>0.125</x:v>
      </x:c>
      <x:c r="U7"/>
      <x:c r="V7"/>
      <x:c r="W7"/>
      <x:c r="X7"/>
      <x:c r="Y7" t="n">
        <x:v>1</x:v>
      </x:c>
      <x:c r="Z7" t="n">
        <x:v>9</x:v>
      </x:c>
      <x:c r="AA7" t="n">
        <x:v>0.875</x:v>
      </x:c>
      <x:c r="AB7" t="n">
        <x:v>8.75</x:v>
      </x:c>
      <x:c r="AC7" t="n">
        <x:v>0.062</x:v>
      </x:c>
      <x:c r="AD7" t="n">
        <x:v>0.062</x:v>
      </x:c>
      <x:c r="AE7" t="n">
        <x:v>0.25</x:v>
      </x:c>
      <x:c r="AF7" t="n">
        <x:v>0.25</x:v>
      </x:c>
      <x:c r="AG7" t="str"/>
    </x:row>
    <x:row r="8">
      <x:c r="A8" t="str">
        <x:v>BW-PB-WHITE-400</x:v>
      </x:c>
      <x:c r="B8" t="str">
        <x:v>image(45).png</x:v>
      </x:c>
      <x:c r="C8" t="str">
        <x:v>Paperback</x:v>
      </x:c>
      <x:c r="D8" t="str">
        <x:v>Black &amp; white</x:v>
      </x:c>
      <x:c r="E8" t="str">
        <x:v>White paper</x:v>
      </x:c>
      <x:c r="F8" t="str">
        <x:v>Left to Right</x:v>
      </x:c>
      <x:c r="G8" t="str">
        <x:v>Inches</x:v>
      </x:c>
      <x:c r="H8" t="n">
        <x:v>6</x:v>
      </x:c>
      <x:c r="I8" t="n">
        <x:v>9</x:v>
      </x:c>
      <x:c r="J8" t="n">
        <x:v>400</x:v>
      </x:c>
      <x:c r="K8" t="n">
        <x:v>13.151</x:v>
      </x:c>
      <x:c r="L8" t="n">
        <x:v>9.25</x:v>
      </x:c>
      <x:c r="M8" t="n">
        <x:v>6</x:v>
      </x:c>
      <x:c r="N8" t="n">
        <x:v>9</x:v>
      </x:c>
      <x:c r="O8" t="n">
        <x:v>5.875</x:v>
      </x:c>
      <x:c r="P8" t="n">
        <x:v>8.75</x:v>
      </x:c>
      <x:c r="Q8" t="n">
        <x:v>0.125</x:v>
      </x:c>
      <x:c r="R8" t="n">
        <x:v>0.125</x:v>
      </x:c>
      <x:c r="S8" t="n">
        <x:v>0.125</x:v>
      </x:c>
      <x:c r="T8" t="n">
        <x:v>0.125</x:v>
      </x:c>
      <x:c r="U8"/>
      <x:c r="V8"/>
      <x:c r="W8"/>
      <x:c r="X8"/>
      <x:c r="Y8" t="n">
        <x:v>0.901</x:v>
      </x:c>
      <x:c r="Z8" t="n">
        <x:v>9</x:v>
      </x:c>
      <x:c r="AA8" t="n">
        <x:v>0.776</x:v>
      </x:c>
      <x:c r="AB8" t="n">
        <x:v>8.75</x:v>
      </x:c>
      <x:c r="AC8" t="n">
        <x:v>0.062</x:v>
      </x:c>
      <x:c r="AD8" t="n">
        <x:v>0.062</x:v>
      </x:c>
      <x:c r="AE8" t="n">
        <x:v>0.25</x:v>
      </x:c>
      <x:c r="AF8" t="n">
        <x:v>0.25</x:v>
      </x:c>
      <x:c r="AG8" t="str"/>
    </x:row>
    <x:row r="9">
      <x:c r="A9" t="str">
        <x:v>BW-PB-WHITE-076</x:v>
      </x:c>
      <x:c r="B9" t="str">
        <x:v>image(46).png</x:v>
      </x:c>
      <x:c r="C9" t="str">
        <x:v>Paperback</x:v>
      </x:c>
      <x:c r="D9" t="str">
        <x:v>Black &amp; white</x:v>
      </x:c>
      <x:c r="E9" t="str">
        <x:v>White paper</x:v>
      </x:c>
      <x:c r="F9" t="str">
        <x:v>Left to Right</x:v>
      </x:c>
      <x:c r="G9" t="str">
        <x:v>Inches</x:v>
      </x:c>
      <x:c r="H9" t="n">
        <x:v>6</x:v>
      </x:c>
      <x:c r="I9" t="n">
        <x:v>9</x:v>
      </x:c>
      <x:c r="J9" t="n">
        <x:v>76</x:v>
      </x:c>
      <x:c r="K9" t="n">
        <x:v>12.421</x:v>
      </x:c>
      <x:c r="L9" t="n">
        <x:v>9.25</x:v>
      </x:c>
      <x:c r="M9" t="n">
        <x:v>6</x:v>
      </x:c>
      <x:c r="N9" t="n">
        <x:v>9</x:v>
      </x:c>
      <x:c r="O9" t="n">
        <x:v>5.875</x:v>
      </x:c>
      <x:c r="P9" t="n">
        <x:v>8.75</x:v>
      </x:c>
      <x:c r="Q9" t="n">
        <x:v>0.125</x:v>
      </x:c>
      <x:c r="R9" t="n">
        <x:v>0.125</x:v>
      </x:c>
      <x:c r="S9" t="n">
        <x:v>0.125</x:v>
      </x:c>
      <x:c r="T9" t="n">
        <x:v>0.125</x:v>
      </x:c>
      <x:c r="U9"/>
      <x:c r="V9"/>
      <x:c r="W9"/>
      <x:c r="X9"/>
      <x:c r="Y9" t="n">
        <x:v>0.171</x:v>
      </x:c>
      <x:c r="Z9" t="n">
        <x:v>9</x:v>
      </x:c>
      <x:c r="AA9" t="n">
        <x:v>0.046</x:v>
      </x:c>
      <x:c r="AB9" t="n">
        <x:v>8.75</x:v>
      </x:c>
      <x:c r="AC9" t="n">
        <x:v>0.062</x:v>
      </x:c>
      <x:c r="AD9" t="n">
        <x:v>0.062</x:v>
      </x:c>
      <x:c r="AE9" t="n">
        <x:v>0.25</x:v>
      </x:c>
      <x:c r="AF9" t="n">
        <x:v>0.25</x:v>
      </x:c>
      <x:c r="AG9" t="str"/>
    </x:row>
    <x:row r="10">
      <x:c r="A10" t="str">
        <x:v>PREM-HC-WHITE-076</x:v>
      </x:c>
      <x:c r="B10" t="str">
        <x:v>image(47).png</x:v>
      </x:c>
      <x:c r="C10" t="str">
        <x:v>Hardcover</x:v>
      </x:c>
      <x:c r="D10" t="str">
        <x:v>Premium color</x:v>
      </x:c>
      <x:c r="E10" t="str">
        <x:v>White paper</x:v>
      </x:c>
      <x:c r="F10" t="str">
        <x:v>Left to Right</x:v>
      </x:c>
      <x:c r="G10" t="str">
        <x:v>Inches</x:v>
      </x:c>
      <x:c r="H10" t="n">
        <x:v>6</x:v>
      </x:c>
      <x:c r="I10" t="n">
        <x:v>9</x:v>
      </x:c>
      <x:c r="J10" t="n">
        <x:v>76</x:v>
      </x:c>
      <x:c r="K10" t="n">
        <x:v>13.942</x:v>
      </x:c>
      <x:c r="L10" t="n">
        <x:v>10.417</x:v>
      </x:c>
      <x:c r="M10" t="n">
        <x:v>6.197</x:v>
      </x:c>
      <x:c r="N10" t="n">
        <x:v>9.236</x:v>
      </x:c>
      <x:c r="O10"/>
      <x:c r="P10"/>
      <x:c r="Q10"/>
      <x:c r="R10"/>
      <x:c r="S10" t="n">
        <x:v>0.125</x:v>
      </x:c>
      <x:c r="T10" t="n">
        <x:v>0.125</x:v>
      </x:c>
      <x:c r="U10" t="n">
        <x:v>0.591</x:v>
      </x:c>
      <x:c r="V10" t="n">
        <x:v>0.591</x:v>
      </x:c>
      <x:c r="W10" t="n">
        <x:v>0.394</x:v>
      </x:c>
      <x:c r="X10" t="n">
        <x:v>10.417</x:v>
      </x:c>
      <x:c r="Y10" t="n">
        <x:v>0.367</x:v>
      </x:c>
      <x:c r="Z10" t="n">
        <x:v>9.236</x:v>
      </x:c>
      <x:c r="AA10" t="n">
        <x:v>0.242</x:v>
      </x:c>
      <x:c r="AB10" t="n">
        <x:v>8.986</x:v>
      </x:c>
      <x:c r="AC10" t="n">
        <x:v>0.062</x:v>
      </x:c>
      <x:c r="AD10" t="n">
        <x:v>0.062</x:v>
      </x:c>
      <x:c r="AE10" t="n">
        <x:v>0.25</x:v>
      </x:c>
      <x:c r="AF10" t="n">
        <x:v>0.375</x:v>
      </x:c>
      <x:c r="AG10" t="str"/>
    </x:row>
    <x:row r="11">
      <x:c r="A11" t="str">
        <x:v>PREM-HC-WHITE-400</x:v>
      </x:c>
      <x:c r="B11" t="str">
        <x:v>image(48).png</x:v>
      </x:c>
      <x:c r="C11" t="str">
        <x:v>Hardcover</x:v>
      </x:c>
      <x:c r="D11" t="str">
        <x:v>Premium color</x:v>
      </x:c>
      <x:c r="E11" t="str">
        <x:v>White paper</x:v>
      </x:c>
      <x:c r="F11" t="str">
        <x:v>Left to Right</x:v>
      </x:c>
      <x:c r="G11" t="str">
        <x:v>Inches</x:v>
      </x:c>
      <x:c r="H11" t="n">
        <x:v>6</x:v>
      </x:c>
      <x:c r="I11" t="n">
        <x:v>9</x:v>
      </x:c>
      <x:c r="J11" t="n">
        <x:v>400</x:v>
      </x:c>
      <x:c r="K11" t="n">
        <x:v>14.703</x:v>
      </x:c>
      <x:c r="L11" t="n">
        <x:v>10.417</x:v>
      </x:c>
      <x:c r="M11" t="n">
        <x:v>6.197</x:v>
      </x:c>
      <x:c r="N11" t="n">
        <x:v>9.236</x:v>
      </x:c>
      <x:c r="O11"/>
      <x:c r="P11"/>
      <x:c r="Q11"/>
      <x:c r="R11"/>
      <x:c r="S11" t="n">
        <x:v>0.125</x:v>
      </x:c>
      <x:c r="T11" t="n">
        <x:v>0.125</x:v>
      </x:c>
      <x:c r="U11" t="n">
        <x:v>0.591</x:v>
      </x:c>
      <x:c r="V11" t="n">
        <x:v>0.591</x:v>
      </x:c>
      <x:c r="W11" t="n">
        <x:v>0.394</x:v>
      </x:c>
      <x:c r="X11" t="n">
        <x:v>10.417</x:v>
      </x:c>
      <x:c r="Y11" t="n">
        <x:v>1.128</x:v>
      </x:c>
      <x:c r="Z11" t="n">
        <x:v>9.236</x:v>
      </x:c>
      <x:c r="AA11" t="n">
        <x:v>1.003</x:v>
      </x:c>
      <x:c r="AB11" t="n">
        <x:v>8.986</x:v>
      </x:c>
      <x:c r="AC11" t="n">
        <x:v>0.062</x:v>
      </x:c>
      <x:c r="AD11" t="n">
        <x:v>0.062</x:v>
      </x:c>
      <x:c r="AE11" t="n">
        <x:v>0.25</x:v>
      </x:c>
      <x:c r="AF11" t="n">
        <x:v>0.375</x:v>
      </x:c>
      <x:c r="AG11" t="str"/>
    </x:row>
    <x:row r="12">
      <x:c r="A12" t="str">
        <x:v>PREM-PB-WHITE-400</x:v>
      </x:c>
      <x:c r="B12" t="str">
        <x:v>image(49).png</x:v>
      </x:c>
      <x:c r="C12" t="str">
        <x:v>Paperback</x:v>
      </x:c>
      <x:c r="D12" t="str">
        <x:v>Premium color</x:v>
      </x:c>
      <x:c r="E12" t="str">
        <x:v>White paper</x:v>
      </x:c>
      <x:c r="F12" t="str">
        <x:v>Left to Right</x:v>
      </x:c>
      <x:c r="G12" t="str">
        <x:v>Inches</x:v>
      </x:c>
      <x:c r="H12" t="n">
        <x:v>6</x:v>
      </x:c>
      <x:c r="I12" t="n">
        <x:v>9</x:v>
      </x:c>
      <x:c r="J12" t="n">
        <x:v>400</x:v>
      </x:c>
      <x:c r="K12" t="n">
        <x:v>13.189</x:v>
      </x:c>
      <x:c r="L12" t="n">
        <x:v>9.25</x:v>
      </x:c>
      <x:c r="M12" t="n">
        <x:v>6</x:v>
      </x:c>
      <x:c r="N12" t="n">
        <x:v>9</x:v>
      </x:c>
      <x:c r="O12" t="n">
        <x:v>5.875</x:v>
      </x:c>
      <x:c r="P12" t="n">
        <x:v>8.75</x:v>
      </x:c>
      <x:c r="Q12" t="n">
        <x:v>0.125</x:v>
      </x:c>
      <x:c r="R12" t="n">
        <x:v>0.125</x:v>
      </x:c>
      <x:c r="S12" t="n">
        <x:v>0.125</x:v>
      </x:c>
      <x:c r="T12" t="n">
        <x:v>0.125</x:v>
      </x:c>
      <x:c r="U12"/>
      <x:c r="V12"/>
      <x:c r="W12"/>
      <x:c r="X12"/>
      <x:c r="Y12" t="n">
        <x:v>0.939</x:v>
      </x:c>
      <x:c r="Z12" t="n">
        <x:v>9</x:v>
      </x:c>
      <x:c r="AA12" t="n">
        <x:v>0.814</x:v>
      </x:c>
      <x:c r="AB12" t="n">
        <x:v>8.75</x:v>
      </x:c>
      <x:c r="AC12" t="n">
        <x:v>0.062</x:v>
      </x:c>
      <x:c r="AD12" t="n">
        <x:v>0.062</x:v>
      </x:c>
      <x:c r="AE12" t="n">
        <x:v>0.25</x:v>
      </x:c>
      <x:c r="AF12" t="n">
        <x:v>0.25</x:v>
      </x:c>
      <x:c r="AG12" t="str">
        <x:v>Premium color is only available with white paper in the KDP calculator.</x:v>
      </x:c>
    </x:row>
    <x:row r="13">
      <x:c r="A13" t="str">
        <x:v>PREM-PB-WHITE-076</x:v>
      </x:c>
      <x:c r="B13" t="str">
        <x:v>image(50).png</x:v>
      </x:c>
      <x:c r="C13" t="str">
        <x:v>Paperback</x:v>
      </x:c>
      <x:c r="D13" t="str">
        <x:v>Premium color</x:v>
      </x:c>
      <x:c r="E13" t="str">
        <x:v>White paper</x:v>
      </x:c>
      <x:c r="F13" t="str">
        <x:v>Left to Right</x:v>
      </x:c>
      <x:c r="G13" t="str">
        <x:v>Inches</x:v>
      </x:c>
      <x:c r="H13" t="n">
        <x:v>6</x:v>
      </x:c>
      <x:c r="I13" t="n">
        <x:v>9</x:v>
      </x:c>
      <x:c r="J13" t="n">
        <x:v>76</x:v>
      </x:c>
      <x:c r="K13" t="n">
        <x:v>12.428</x:v>
      </x:c>
      <x:c r="L13" t="n">
        <x:v>9.25</x:v>
      </x:c>
      <x:c r="M13" t="n">
        <x:v>6</x:v>
      </x:c>
      <x:c r="N13" t="n">
        <x:v>9</x:v>
      </x:c>
      <x:c r="O13" t="n">
        <x:v>5.875</x:v>
      </x:c>
      <x:c r="P13" t="n">
        <x:v>8.75</x:v>
      </x:c>
      <x:c r="Q13" t="n">
        <x:v>0.125</x:v>
      </x:c>
      <x:c r="R13" t="n">
        <x:v>0.125</x:v>
      </x:c>
      <x:c r="S13" t="n">
        <x:v>0.125</x:v>
      </x:c>
      <x:c r="T13" t="n">
        <x:v>0.125</x:v>
      </x:c>
      <x:c r="U13"/>
      <x:c r="V13"/>
      <x:c r="W13"/>
      <x:c r="X13"/>
      <x:c r="Y13" t="n">
        <x:v>0.178</x:v>
      </x:c>
      <x:c r="Z13" t="n">
        <x:v>9</x:v>
      </x:c>
      <x:c r="AA13" t="n">
        <x:v>0.053</x:v>
      </x:c>
      <x:c r="AB13" t="n">
        <x:v>8.75</x:v>
      </x:c>
      <x:c r="AC13" t="n">
        <x:v>0.062</x:v>
      </x:c>
      <x:c r="AD13" t="n">
        <x:v>0.062</x:v>
      </x:c>
      <x:c r="AE13" t="n">
        <x:v>0.25</x:v>
      </x:c>
      <x:c r="AF13" t="n">
        <x:v>0.25</x:v>
      </x:c>
      <x:c r="AG13" t="str">
        <x:v>Premium color is only available with white paper in the KDP calculator.</x:v>
      </x:c>
    </x:row>
  </x:sheetData>
  <x:pageMargins left="0.7" right="0.7" top="0.75" bottom="0.75" header="0.3" footer="0.3"/>
  <x:tableParts count="1">
    <x:tablePart xmlns:r="http://schemas.openxmlformats.org/officeDocument/2006/relationships" r:id="R77b3d7ca6db34a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55" hidden="0" customWidth="1"/>
  </x:cols>
  <x:sheetData>
    <x:row r="1">
      <x:c r="A1" s="10" t="str">
        <x:v>Category</x:v>
      </x:c>
      <x:c r="B1" s="14" t="str">
        <x:v>Value</x:v>
      </x:c>
      <x:c r="C1" s="10" t="str">
        <x:v>Units</x:v>
      </x:c>
      <x:c r="D1" s="10" t="str">
        <x:v>Notes</x:v>
      </x:c>
    </x:row>
    <x:row r="2">
      <x:c r="A2" t="str">
        <x:v>B&amp;W white thickness</x:v>
      </x:c>
      <x:c r="B2" t="n">
        <x:v>0.002252</x:v>
      </x:c>
      <x:c r="C2" t="str">
        <x:v>in/page</x:v>
      </x:c>
      <x:c r="D2" t="str">
        <x:v>KDP black &amp; white / white paper</x:v>
      </x:c>
    </x:row>
    <x:row r="3">
      <x:c r="A3" t="str">
        <x:v>B&amp;W cream thickness</x:v>
      </x:c>
      <x:c r="B3" t="n">
        <x:v>0.0025</x:v>
      </x:c>
      <x:c r="C3" t="str">
        <x:v>in/page</x:v>
      </x:c>
      <x:c r="D3" t="str">
        <x:v>KDP black &amp; white / cream paper</x:v>
      </x:c>
    </x:row>
    <x:row r="4">
      <x:c r="A4" t="str">
        <x:v>Premium color white thickness</x:v>
      </x:c>
      <x:c r="B4" t="n">
        <x:v>0.002347</x:v>
      </x:c>
      <x:c r="C4" t="str">
        <x:v>in/page</x:v>
      </x:c>
      <x:c r="D4" t="str">
        <x:v>KDP premium color / white paper</x:v>
      </x:c>
    </x:row>
    <x:row r="5">
      <x:c r="A5" t="str">
        <x:v>Paperback bleed</x:v>
      </x:c>
      <x:c r="B5" t="n">
        <x:v>0.125</x:v>
      </x:c>
      <x:c r="C5" t="str">
        <x:v>in</x:v>
      </x:c>
      <x:c r="D5" t="str">
        <x:v>Used on all sides of paperback cover</x:v>
      </x:c>
    </x:row>
    <x:row r="6">
      <x:c r="A6" t="str">
        <x:v>Paperback margin</x:v>
      </x:c>
      <x:c r="B6" t="n">
        <x:v>0.125</x:v>
      </x:c>
      <x:c r="C6" t="str">
        <x:v>in</x:v>
      </x:c>
      <x:c r="D6" t="str">
        <x:v>Safe-area margin</x:v>
      </x:c>
    </x:row>
    <x:row r="7">
      <x:c r="A7" t="str">
        <x:v>Hardcover wrap</x:v>
      </x:c>
      <x:c r="B7" t="n">
        <x:v>0.5905</x:v>
      </x:c>
      <x:c r="C7" t="str">
        <x:v>in</x:v>
      </x:c>
      <x:c r="D7" t="str">
        <x:v>Displayed by KDP as 0.591 in</x:v>
      </x:c>
    </x:row>
    <x:row r="8">
      <x:c r="A8" t="str">
        <x:v>Hardcover hinge per side</x:v>
      </x:c>
      <x:c r="B8" t="n">
        <x:v>0.197</x:v>
      </x:c>
      <x:c r="C8" t="str">
        <x:v>in</x:v>
      </x:c>
      <x:c r="D8" t="str">
        <x:v>Displayed as 0.394 in total hinge</x:v>
      </x:c>
    </x:row>
    <x:row r="9">
      <x:c r="A9" t="str">
        <x:v>Hardcover spine extra</x:v>
      </x:c>
      <x:c r="B9" t="n">
        <x:v>0.189</x:v>
      </x:c>
      <x:c r="C9" t="str">
        <x:v>in</x:v>
      </x:c>
      <x:c r="D9" t="str">
        <x:v>Case-laminate spine allowance</x:v>
      </x:c>
    </x:row>
    <x:row r="10">
      <x:c r="A10" t="str">
        <x:v>Hardcover vertical outer</x:v>
      </x:c>
      <x:c r="B10" t="n">
        <x:v>0.7085</x:v>
      </x:c>
      <x:c r="C10" t="str">
        <x:v>in</x:v>
      </x:c>
      <x:c r="D10" t="str">
        <x:v>Produces 10.417 in height for 6×9</x:v>
      </x:c>
    </x:row>
    <x:row r="11">
      <x:c r="A11" t="str">
        <x:v>Spine margin</x:v>
      </x:c>
      <x:c r="B11" t="n">
        <x:v>0.0625</x:v>
      </x:c>
      <x:c r="C11" t="str">
        <x:v>in</x:v>
      </x:c>
      <x:c r="D11" t="str">
        <x:v>Displayed by KDP as 0.062 in</x:v>
      </x:c>
    </x:row>
    <x:row r="12">
      <x:c r="A12" t="str">
        <x:v>Paperback barcode margin X</x:v>
      </x:c>
      <x:c r="B12" t="n">
        <x:v>0.25</x:v>
      </x:c>
      <x:c r="C12" t="str">
        <x:v>in</x:v>
      </x:c>
      <x:c r="D12" t="str"/>
    </x:row>
    <x:row r="13">
      <x:c r="A13" t="str">
        <x:v>Paperback barcode margin Y</x:v>
      </x:c>
      <x:c r="B13" t="n">
        <x:v>0.25</x:v>
      </x:c>
      <x:c r="C13" t="str">
        <x:v>in</x:v>
      </x:c>
      <x:c r="D13" t="str"/>
    </x:row>
    <x:row r="14">
      <x:c r="A14" t="str">
        <x:v>Hardcover barcode margin X</x:v>
      </x:c>
      <x:c r="B14" t="n">
        <x:v>0.25</x:v>
      </x:c>
      <x:c r="C14" t="str">
        <x:v>in</x:v>
      </x:c>
      <x:c r="D14" t="str"/>
    </x:row>
    <x:row r="15">
      <x:c r="A15" t="str">
        <x:v>Hardcover barcode margin Y</x:v>
      </x:c>
      <x:c r="B15" t="n">
        <x:v>0.375</x:v>
      </x:c>
      <x:c r="C15" t="str">
        <x:v>in</x:v>
      </x:c>
      <x:c r="D15" t="str"/>
    </x:row>
    <x:row r="16">
      <x:c r="A16" t="str">
        <x:v>Validation tolerance</x:v>
      </x:c>
      <x:c r="B16" t="n">
        <x:v>0.001</x:v>
      </x:c>
      <x:c r="C16" t="str">
        <x:v>in</x:v>
      </x:c>
      <x:c r="D16" t="str">
        <x:v>Compare formula outputs against KDP displayed values</x:v>
      </x:c>
    </x:row>
  </x:sheetData>
  <x:pageMargins left="0.7" right="0.7" top="0.75" bottom="0.75" header="0.3" footer="0.3"/>
  <x:tableParts count="1">
    <x:tablePart xmlns:r="http://schemas.openxmlformats.org/officeDocument/2006/relationships" r:id="R83f7f6906e3a41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</x:cols>
  <x:sheetData>
    <x:row r="1">
      <x:c r="A1" s="10" t="str">
        <x:v>Capture</x:v>
      </x:c>
      <x:c r="B1" s="10" t="str">
        <x:v>Binding</x:v>
      </x:c>
      <x:c r="C1" s="10" t="str">
        <x:v>Interior Type</x:v>
      </x:c>
      <x:c r="D1" s="10" t="str">
        <x:v>Paper Type</x:v>
      </x:c>
      <x:c r="E1" s="14" t="str">
        <x:v>Trim W</x:v>
      </x:c>
      <x:c r="F1" s="14" t="str">
        <x:v>Trim H</x:v>
      </x:c>
      <x:c r="G1" s="14" t="str">
        <x:v>Pages</x:v>
      </x:c>
      <x:c r="H1" s="14" t="str">
        <x:v>Observed Spine</x:v>
      </x:c>
      <x:c r="I1" s="14" t="str">
        <x:v>Calc Spine</x:v>
      </x:c>
      <x:c r="J1" s="14" t="str">
        <x:v>Δ Spine</x:v>
      </x:c>
      <x:c r="K1" s="14" t="str">
        <x:v>Observed Full W</x:v>
      </x:c>
      <x:c r="L1" s="14" t="str">
        <x:v>Calc Full W</x:v>
      </x:c>
      <x:c r="M1" s="14" t="str">
        <x:v>Δ Full W</x:v>
      </x:c>
      <x:c r="N1" s="14" t="str">
        <x:v>Observed Full H</x:v>
      </x:c>
      <x:c r="O1" s="14" t="str">
        <x:v>Calc Full H</x:v>
      </x:c>
      <x:c r="P1" s="14" t="str">
        <x:v>Δ Full H</x:v>
      </x:c>
      <x:c r="Q1" s="14" t="str">
        <x:v>Observed Front W</x:v>
      </x:c>
      <x:c r="R1" s="14" t="str">
        <x:v>Calc Front W</x:v>
      </x:c>
      <x:c r="S1" s="14" t="str">
        <x:v>Δ Front W</x:v>
      </x:c>
      <x:c r="T1" s="14" t="str">
        <x:v>Observed Front H</x:v>
      </x:c>
      <x:c r="U1" s="14" t="str">
        <x:v>Calc Front H</x:v>
      </x:c>
      <x:c r="V1" s="14" t="str">
        <x:v>Δ Front H</x:v>
      </x:c>
      <x:c r="W1" s="14" t="str">
        <x:v>Observed Spine Safe W</x:v>
      </x:c>
      <x:c r="X1" s="14" t="str">
        <x:v>Calc Spine Safe W</x:v>
      </x:c>
      <x:c r="Y1" s="14" t="str">
        <x:v>Δ Spine Safe W</x:v>
      </x:c>
      <x:c r="Z1" s="14" t="str">
        <x:v>Observed Spine Safe H</x:v>
      </x:c>
      <x:c r="AA1" s="14" t="str">
        <x:v>Calc Spine Safe H</x:v>
      </x:c>
      <x:c r="AB1" s="14" t="str">
        <x:v>Δ Spine Safe H</x:v>
      </x:c>
      <x:c r="AC1" s="10" t="str">
        <x:v>Pass?</x:v>
      </x:c>
    </x:row>
    <x:row r="2">
      <x:c r="A2" t="str">
        <x:f>'Raw Data'!A2</x:f>
        <x:v>BW-HC-WHITE-076</x:v>
      </x:c>
      <x:c r="B2" t="str">
        <x:f>'Raw Data'!C2</x:f>
        <x:v>Hardcover</x:v>
      </x:c>
      <x:c r="C2" t="str">
        <x:f>'Raw Data'!D2</x:f>
        <x:v>Black &amp; white</x:v>
      </x:c>
      <x:c r="D2" t="str">
        <x:f>'Raw Data'!E2</x:f>
        <x:v>White paper</x:v>
      </x:c>
      <x:c r="E2" t="n">
        <x:f>'Raw Data'!H2</x:f>
        <x:v>6</x:v>
      </x:c>
      <x:c r="F2" t="n">
        <x:f>'Raw Data'!I2</x:f>
        <x:v>9</x:v>
      </x:c>
      <x:c r="G2" t="n">
        <x:f>'Raw Data'!J2</x:f>
        <x:v>76</x:v>
      </x:c>
      <x:c r="H2" t="n">
        <x:f>'Raw Data'!Y2</x:f>
        <x:v>0.36</x:v>
      </x:c>
      <x:c r="I2" t="n">
        <x:f>G2*IF(C2="Premium color",Coefficients!$B$4,IF(D2="Cream paper",Coefficients!$B$3,Coefficients!$B$2))+IF(B2="Hardcover",Coefficients!$B$9,0)</x:f>
        <x:v>0.360152</x:v>
      </x:c>
      <x:c r="J2" t="n">
        <x:f>I2-H2</x:f>
        <x:v>0.000152000000000041</x:v>
      </x:c>
      <x:c r="K2" t="n">
        <x:f>'Raw Data'!K2</x:f>
        <x:v>13.935</x:v>
      </x:c>
      <x:c r="L2" t="n">
        <x:f>IF(B2="Paperback",2*E2+I2+2*Coefficients!$B$5,2*E2+I2+2*Coefficients!$B$7+2*Coefficients!$B$8)</x:f>
        <x:v>13.935152</x:v>
      </x:c>
      <x:c r="M2" t="n">
        <x:f>L2-K2</x:f>
        <x:v>0.00015199999999992997</x:v>
      </x:c>
      <x:c r="N2" t="n">
        <x:f>'Raw Data'!L2</x:f>
        <x:v>10.417</x:v>
      </x:c>
      <x:c r="O2" t="n">
        <x:f>IF(B2="Paperback",F2+2*Coefficients!$B$5,F2+2*Coefficients!$B$10)</x:f>
        <x:v>10.417</x:v>
      </x:c>
      <x:c r="P2" t="n">
        <x:f>O2-N2</x:f>
        <x:v>0</x:v>
      </x:c>
      <x:c r="Q2" t="n">
        <x:f>'Raw Data'!M2</x:f>
        <x:v>6.197</x:v>
      </x:c>
      <x:c r="R2" t="n">
        <x:f>IF(B2="Paperback",E2,E2+Coefficients!$B$8)</x:f>
        <x:v>6.197</x:v>
      </x:c>
      <x:c r="S2" t="n">
        <x:f>R2-Q2</x:f>
        <x:v>0</x:v>
      </x:c>
      <x:c r="T2" t="n">
        <x:f>'Raw Data'!N2</x:f>
        <x:v>9.236</x:v>
      </x:c>
      <x:c r="U2" t="n">
        <x:f>IF(B2="Paperback",F2,O2-2*Coefficients!$B$7)</x:f>
        <x:v>9.236</x:v>
      </x:c>
      <x:c r="V2" t="n">
        <x:f>U2-T2</x:f>
        <x:v>0</x:v>
      </x:c>
      <x:c r="W2" t="n">
        <x:f>'Raw Data'!AA2</x:f>
        <x:v>0.235</x:v>
      </x:c>
      <x:c r="X2" t="n">
        <x:f>MAX(0,I2-2*Coefficients!$B$11)</x:f>
        <x:v>0.23515200000000003</x:v>
      </x:c>
      <x:c r="Y2" t="n">
        <x:f>X2-W2</x:f>
        <x:v>0.000152000000000041</x:v>
      </x:c>
      <x:c r="Z2" t="n">
        <x:f>'Raw Data'!AB2</x:f>
        <x:v>8.986</x:v>
      </x:c>
      <x:c r="AA2" t="n">
        <x:f>IF(B2="Paperback",F2-2*Coefficients!$B$6,U2-2*Coefficients!$B$6)</x:f>
        <x:v>8.986</x:v>
      </x:c>
      <x:c r="AB2" t="n">
        <x:f>AA2-Z2</x:f>
        <x:v>0</x:v>
      </x:c>
      <x:c r="AC2" t="str">
        <x:f>IF(MAX(ABS(J2),ABS(M2),ABS(P2),ABS(S2),ABS(V2),ABS(Y2),ABS(AB2))&lt;=Coefficients!$B$16,"PASS","CHECK")</x:f>
        <x:v>PASS</x:v>
      </x:c>
    </x:row>
    <x:row r="3">
      <x:c r="A3" t="str">
        <x:f>'Raw Data'!A3</x:f>
        <x:v>BW-HC-WHITE-400</x:v>
      </x:c>
      <x:c r="B3" t="str">
        <x:f>'Raw Data'!C3</x:f>
        <x:v>Hardcover</x:v>
      </x:c>
      <x:c r="C3" t="str">
        <x:f>'Raw Data'!D3</x:f>
        <x:v>Black &amp; white</x:v>
      </x:c>
      <x:c r="D3" t="str">
        <x:f>'Raw Data'!E3</x:f>
        <x:v>White paper</x:v>
      </x:c>
      <x:c r="E3" t="n">
        <x:f>'Raw Data'!H3</x:f>
        <x:v>6</x:v>
      </x:c>
      <x:c r="F3" t="n">
        <x:f>'Raw Data'!I3</x:f>
        <x:v>9</x:v>
      </x:c>
      <x:c r="G3" t="n">
        <x:f>'Raw Data'!J3</x:f>
        <x:v>400</x:v>
      </x:c>
      <x:c r="H3" t="n">
        <x:f>'Raw Data'!Y3</x:f>
        <x:v>1.09</x:v>
      </x:c>
      <x:c r="I3" t="n">
        <x:f>G3*IF(C3="Premium color",Coefficients!$B$4,IF(D3="Cream paper",Coefficients!$B$3,Coefficients!$B$2))+IF(B3="Hardcover",Coefficients!$B$9,0)</x:f>
        <x:v>1.0898</x:v>
      </x:c>
      <x:c r="J3" t="n">
        <x:f>I3-H3</x:f>
        <x:v>-0.00019999999999997797</x:v>
      </x:c>
      <x:c r="K3" t="n">
        <x:f>'Raw Data'!K3</x:f>
        <x:v>14.665</x:v>
      </x:c>
      <x:c r="L3" t="n">
        <x:f>IF(B3="Paperback",2*E3+I3+2*Coefficients!$B$5,2*E3+I3+2*Coefficients!$B$7+2*Coefficients!$B$8)</x:f>
        <x:v>14.664800000000001</x:v>
      </x:c>
      <x:c r="M3" t="n">
        <x:f>L3-K3</x:f>
        <x:v>-0.00019999999999775753</x:v>
      </x:c>
      <x:c r="N3" t="n">
        <x:f>'Raw Data'!L3</x:f>
        <x:v>10.417</x:v>
      </x:c>
      <x:c r="O3" t="n">
        <x:f>IF(B3="Paperback",F3+2*Coefficients!$B$5,F3+2*Coefficients!$B$10)</x:f>
        <x:v>10.417</x:v>
      </x:c>
      <x:c r="P3" t="n">
        <x:f>O3-N3</x:f>
        <x:v>0</x:v>
      </x:c>
      <x:c r="Q3" t="n">
        <x:f>'Raw Data'!M3</x:f>
        <x:v>6.197</x:v>
      </x:c>
      <x:c r="R3" t="n">
        <x:f>IF(B3="Paperback",E3,E3+Coefficients!$B$8)</x:f>
        <x:v>6.197</x:v>
      </x:c>
      <x:c r="S3" t="n">
        <x:f>R3-Q3</x:f>
        <x:v>0</x:v>
      </x:c>
      <x:c r="T3" t="n">
        <x:f>'Raw Data'!N3</x:f>
        <x:v>9.236</x:v>
      </x:c>
      <x:c r="U3" t="n">
        <x:f>IF(B3="Paperback",F3,O3-2*Coefficients!$B$7)</x:f>
        <x:v>9.236</x:v>
      </x:c>
      <x:c r="V3" t="n">
        <x:f>U3-T3</x:f>
        <x:v>0</x:v>
      </x:c>
      <x:c r="W3" t="n">
        <x:f>'Raw Data'!AA3</x:f>
        <x:v>0.965</x:v>
      </x:c>
      <x:c r="X3" t="n">
        <x:f>MAX(0,I3-2*Coefficients!$B$11)</x:f>
        <x:v>0.9648000000000001</x:v>
      </x:c>
      <x:c r="Y3" t="n">
        <x:f>X3-W3</x:f>
        <x:v>-0.00019999999999986695</x:v>
      </x:c>
      <x:c r="Z3" t="n">
        <x:f>'Raw Data'!AB3</x:f>
        <x:v>8.986</x:v>
      </x:c>
      <x:c r="AA3" t="n">
        <x:f>IF(B3="Paperback",F3-2*Coefficients!$B$6,U3-2*Coefficients!$B$6)</x:f>
        <x:v>8.986</x:v>
      </x:c>
      <x:c r="AB3" t="n">
        <x:f>AA3-Z3</x:f>
        <x:v>0</x:v>
      </x:c>
      <x:c r="AC3" t="str">
        <x:f>IF(MAX(ABS(J3),ABS(M3),ABS(P3),ABS(S3),ABS(V3),ABS(Y3),ABS(AB3))&lt;=Coefficients!$B$16,"PASS","CHECK")</x:f>
        <x:v>PASS</x:v>
      </x:c>
    </x:row>
    <x:row r="4">
      <x:c r="A4" t="str">
        <x:f>'Raw Data'!A4</x:f>
        <x:v>BW-HC-CREAM-400</x:v>
      </x:c>
      <x:c r="B4" t="str">
        <x:f>'Raw Data'!C4</x:f>
        <x:v>Hardcover</x:v>
      </x:c>
      <x:c r="C4" t="str">
        <x:f>'Raw Data'!D4</x:f>
        <x:v>Black &amp; white</x:v>
      </x:c>
      <x:c r="D4" t="str">
        <x:f>'Raw Data'!E4</x:f>
        <x:v>Cream paper</x:v>
      </x:c>
      <x:c r="E4" t="n">
        <x:f>'Raw Data'!H4</x:f>
        <x:v>6</x:v>
      </x:c>
      <x:c r="F4" t="n">
        <x:f>'Raw Data'!I4</x:f>
        <x:v>9</x:v>
      </x:c>
      <x:c r="G4" t="n">
        <x:f>'Raw Data'!J4</x:f>
        <x:v>400</x:v>
      </x:c>
      <x:c r="H4" t="n">
        <x:f>'Raw Data'!Y4</x:f>
        <x:v>1.189</x:v>
      </x:c>
      <x:c r="I4" t="n">
        <x:f>G4*IF(C4="Premium color",Coefficients!$B$4,IF(D4="Cream paper",Coefficients!$B$3,Coefficients!$B$2))+IF(B4="Hardcover",Coefficients!$B$9,0)</x:f>
        <x:v>1.189</x:v>
      </x:c>
      <x:c r="J4" t="n">
        <x:f>I4-H4</x:f>
        <x:v>0</x:v>
      </x:c>
      <x:c r="K4" t="n">
        <x:f>'Raw Data'!K4</x:f>
        <x:v>14.764</x:v>
      </x:c>
      <x:c r="L4" t="n">
        <x:f>IF(B4="Paperback",2*E4+I4+2*Coefficients!$B$5,2*E4+I4+2*Coefficients!$B$7+2*Coefficients!$B$8)</x:f>
        <x:v>14.764000000000001</x:v>
      </x:c>
      <x:c r="M4" t="n">
        <x:f>L4-K4</x:f>
        <x:v>1.7763568394002505e-15</x:v>
      </x:c>
      <x:c r="N4" t="n">
        <x:f>'Raw Data'!L4</x:f>
        <x:v>10.417</x:v>
      </x:c>
      <x:c r="O4" t="n">
        <x:f>IF(B4="Paperback",F4+2*Coefficients!$B$5,F4+2*Coefficients!$B$10)</x:f>
        <x:v>10.417</x:v>
      </x:c>
      <x:c r="P4" t="n">
        <x:f>O4-N4</x:f>
        <x:v>0</x:v>
      </x:c>
      <x:c r="Q4" t="n">
        <x:f>'Raw Data'!M4</x:f>
        <x:v>6.197</x:v>
      </x:c>
      <x:c r="R4" t="n">
        <x:f>IF(B4="Paperback",E4,E4+Coefficients!$B$8)</x:f>
        <x:v>6.197</x:v>
      </x:c>
      <x:c r="S4" t="n">
        <x:f>R4-Q4</x:f>
        <x:v>0</x:v>
      </x:c>
      <x:c r="T4" t="n">
        <x:f>'Raw Data'!N4</x:f>
        <x:v>9.236</x:v>
      </x:c>
      <x:c r="U4" t="n">
        <x:f>IF(B4="Paperback",F4,O4-2*Coefficients!$B$7)</x:f>
        <x:v>9.236</x:v>
      </x:c>
      <x:c r="V4" t="n">
        <x:f>U4-T4</x:f>
        <x:v>0</x:v>
      </x:c>
      <x:c r="W4" t="n">
        <x:f>'Raw Data'!AA4</x:f>
        <x:v>1.064</x:v>
      </x:c>
      <x:c r="X4" t="n">
        <x:f>MAX(0,I4-2*Coefficients!$B$11)</x:f>
        <x:v>1.064</x:v>
      </x:c>
      <x:c r="Y4" t="n">
        <x:f>X4-W4</x:f>
        <x:v>0</x:v>
      </x:c>
      <x:c r="Z4" t="n">
        <x:f>'Raw Data'!AB4</x:f>
        <x:v>8.986</x:v>
      </x:c>
      <x:c r="AA4" t="n">
        <x:f>IF(B4="Paperback",F4-2*Coefficients!$B$6,U4-2*Coefficients!$B$6)</x:f>
        <x:v>8.986</x:v>
      </x:c>
      <x:c r="AB4" t="n">
        <x:f>AA4-Z4</x:f>
        <x:v>0</x:v>
      </x:c>
      <x:c r="AC4" t="str">
        <x:f>IF(MAX(ABS(J4),ABS(M4),ABS(P4),ABS(S4),ABS(V4),ABS(Y4),ABS(AB4))&lt;=Coefficients!$B$16,"PASS","CHECK")</x:f>
        <x:v>PASS</x:v>
      </x:c>
    </x:row>
    <x:row r="5">
      <x:c r="A5" t="str">
        <x:f>'Raw Data'!A5</x:f>
        <x:v>BW-HC-CREAM-076</x:v>
      </x:c>
      <x:c r="B5" t="str">
        <x:f>'Raw Data'!C5</x:f>
        <x:v>Hardcover</x:v>
      </x:c>
      <x:c r="C5" t="str">
        <x:f>'Raw Data'!D5</x:f>
        <x:v>Black &amp; white</x:v>
      </x:c>
      <x:c r="D5" t="str">
        <x:f>'Raw Data'!E5</x:f>
        <x:v>Cream paper</x:v>
      </x:c>
      <x:c r="E5" t="n">
        <x:f>'Raw Data'!H5</x:f>
        <x:v>6</x:v>
      </x:c>
      <x:c r="F5" t="n">
        <x:f>'Raw Data'!I5</x:f>
        <x:v>9</x:v>
      </x:c>
      <x:c r="G5" t="n">
        <x:f>'Raw Data'!J5</x:f>
        <x:v>76</x:v>
      </x:c>
      <x:c r="H5" t="n">
        <x:f>'Raw Data'!Y5</x:f>
        <x:v>0.379</x:v>
      </x:c>
      <x:c r="I5" t="n">
        <x:f>G5*IF(C5="Premium color",Coefficients!$B$4,IF(D5="Cream paper",Coefficients!$B$3,Coefficients!$B$2))+IF(B5="Hardcover",Coefficients!$B$9,0)</x:f>
        <x:v>0.379</x:v>
      </x:c>
      <x:c r="J5" t="n">
        <x:f>I5-H5</x:f>
        <x:v>0</x:v>
      </x:c>
      <x:c r="K5" t="n">
        <x:f>'Raw Data'!K5</x:f>
        <x:v>13.954</x:v>
      </x:c>
      <x:c r="L5" t="n">
        <x:f>IF(B5="Paperback",2*E5+I5+2*Coefficients!$B$5,2*E5+I5+2*Coefficients!$B$7+2*Coefficients!$B$8)</x:f>
        <x:v>13.953999999999999</x:v>
      </x:c>
      <x:c r="M5" t="n">
        <x:f>L5-K5</x:f>
        <x:v>-1.7763568394002505e-15</x:v>
      </x:c>
      <x:c r="N5" t="n">
        <x:f>'Raw Data'!L5</x:f>
        <x:v>10.417</x:v>
      </x:c>
      <x:c r="O5" t="n">
        <x:f>IF(B5="Paperback",F5+2*Coefficients!$B$5,F5+2*Coefficients!$B$10)</x:f>
        <x:v>10.417</x:v>
      </x:c>
      <x:c r="P5" t="n">
        <x:f>O5-N5</x:f>
        <x:v>0</x:v>
      </x:c>
      <x:c r="Q5" t="n">
        <x:f>'Raw Data'!M5</x:f>
        <x:v>6.197</x:v>
      </x:c>
      <x:c r="R5" t="n">
        <x:f>IF(B5="Paperback",E5,E5+Coefficients!$B$8)</x:f>
        <x:v>6.197</x:v>
      </x:c>
      <x:c r="S5" t="n">
        <x:f>R5-Q5</x:f>
        <x:v>0</x:v>
      </x:c>
      <x:c r="T5" t="n">
        <x:f>'Raw Data'!N5</x:f>
        <x:v>9.236</x:v>
      </x:c>
      <x:c r="U5" t="n">
        <x:f>IF(B5="Paperback",F5,O5-2*Coefficients!$B$7)</x:f>
        <x:v>9.236</x:v>
      </x:c>
      <x:c r="V5" t="n">
        <x:f>U5-T5</x:f>
        <x:v>0</x:v>
      </x:c>
      <x:c r="W5" t="n">
        <x:f>'Raw Data'!AA5</x:f>
        <x:v>0.254</x:v>
      </x:c>
      <x:c r="X5" t="n">
        <x:f>MAX(0,I5-2*Coefficients!$B$11)</x:f>
        <x:v>0.254</x:v>
      </x:c>
      <x:c r="Y5" t="n">
        <x:f>X5-W5</x:f>
        <x:v>0</x:v>
      </x:c>
      <x:c r="Z5" t="n">
        <x:f>'Raw Data'!AB5</x:f>
        <x:v>8.986</x:v>
      </x:c>
      <x:c r="AA5" t="n">
        <x:f>IF(B5="Paperback",F5-2*Coefficients!$B$6,U5-2*Coefficients!$B$6)</x:f>
        <x:v>8.986</x:v>
      </x:c>
      <x:c r="AB5" t="n">
        <x:f>AA5-Z5</x:f>
        <x:v>0</x:v>
      </x:c>
      <x:c r="AC5" t="str">
        <x:f>IF(MAX(ABS(J5),ABS(M5),ABS(P5),ABS(S5),ABS(V5),ABS(Y5),ABS(AB5))&lt;=Coefficients!$B$16,"PASS","CHECK")</x:f>
        <x:v>PASS</x:v>
      </x:c>
    </x:row>
    <x:row r="6">
      <x:c r="A6" t="str">
        <x:f>'Raw Data'!A6</x:f>
        <x:v>BW-PB-CREAM-076</x:v>
      </x:c>
      <x:c r="B6" t="str">
        <x:f>'Raw Data'!C6</x:f>
        <x:v>Paperback</x:v>
      </x:c>
      <x:c r="C6" t="str">
        <x:f>'Raw Data'!D6</x:f>
        <x:v>Black &amp; white</x:v>
      </x:c>
      <x:c r="D6" t="str">
        <x:f>'Raw Data'!E6</x:f>
        <x:v>Cream paper</x:v>
      </x:c>
      <x:c r="E6" t="n">
        <x:f>'Raw Data'!H6</x:f>
        <x:v>6</x:v>
      </x:c>
      <x:c r="F6" t="n">
        <x:f>'Raw Data'!I6</x:f>
        <x:v>9</x:v>
      </x:c>
      <x:c r="G6" t="n">
        <x:f>'Raw Data'!J6</x:f>
        <x:v>76</x:v>
      </x:c>
      <x:c r="H6" t="n">
        <x:f>'Raw Data'!Y6</x:f>
        <x:v>0.19</x:v>
      </x:c>
      <x:c r="I6" t="n">
        <x:f>G6*IF(C6="Premium color",Coefficients!$B$4,IF(D6="Cream paper",Coefficients!$B$3,Coefficients!$B$2))+IF(B6="Hardcover",Coefficients!$B$9,0)</x:f>
        <x:v>0.19</x:v>
      </x:c>
      <x:c r="J6" t="n">
        <x:f>I6-H6</x:f>
        <x:v>0</x:v>
      </x:c>
      <x:c r="K6" t="n">
        <x:f>'Raw Data'!K6</x:f>
        <x:v>12.44</x:v>
      </x:c>
      <x:c r="L6" t="n">
        <x:f>IF(B6="Paperback",2*E6+I6+2*Coefficients!$B$5,2*E6+I6+2*Coefficients!$B$7+2*Coefficients!$B$8)</x:f>
        <x:v>12.44</x:v>
      </x:c>
      <x:c r="M6" t="n">
        <x:f>L6-K6</x:f>
        <x:v>0</x:v>
      </x:c>
      <x:c r="N6" t="n">
        <x:f>'Raw Data'!L6</x:f>
        <x:v>9.25</x:v>
      </x:c>
      <x:c r="O6" t="n">
        <x:f>IF(B6="Paperback",F6+2*Coefficients!$B$5,F6+2*Coefficients!$B$10)</x:f>
        <x:v>9.25</x:v>
      </x:c>
      <x:c r="P6" t="n">
        <x:f>O6-N6</x:f>
        <x:v>0</x:v>
      </x:c>
      <x:c r="Q6" t="n">
        <x:f>'Raw Data'!M6</x:f>
        <x:v>6</x:v>
      </x:c>
      <x:c r="R6" t="n">
        <x:f>IF(B6="Paperback",E6,E6+Coefficients!$B$8)</x:f>
        <x:v>6</x:v>
      </x:c>
      <x:c r="S6" t="n">
        <x:f>R6-Q6</x:f>
        <x:v>0</x:v>
      </x:c>
      <x:c r="T6" t="n">
        <x:f>'Raw Data'!N6</x:f>
        <x:v>9</x:v>
      </x:c>
      <x:c r="U6" t="n">
        <x:f>IF(B6="Paperback",F6,O6-2*Coefficients!$B$7)</x:f>
        <x:v>9</x:v>
      </x:c>
      <x:c r="V6" t="n">
        <x:f>U6-T6</x:f>
        <x:v>0</x:v>
      </x:c>
      <x:c r="W6" t="n">
        <x:f>'Raw Data'!AA6</x:f>
        <x:v>0.065</x:v>
      </x:c>
      <x:c r="X6" t="n">
        <x:f>MAX(0,I6-2*Coefficients!$B$11)</x:f>
        <x:v>0.065</x:v>
      </x:c>
      <x:c r="Y6" t="n">
        <x:f>X6-W6</x:f>
        <x:v>0</x:v>
      </x:c>
      <x:c r="Z6" t="n">
        <x:f>'Raw Data'!AB6</x:f>
        <x:v>8.75</x:v>
      </x:c>
      <x:c r="AA6" t="n">
        <x:f>IF(B6="Paperback",F6-2*Coefficients!$B$6,U6-2*Coefficients!$B$6)</x:f>
        <x:v>8.75</x:v>
      </x:c>
      <x:c r="AB6" t="n">
        <x:f>AA6-Z6</x:f>
        <x:v>0</x:v>
      </x:c>
      <x:c r="AC6" t="str">
        <x:f>IF(MAX(ABS(J6),ABS(M6),ABS(P6),ABS(S6),ABS(V6),ABS(Y6),ABS(AB6))&lt;=Coefficients!$B$16,"PASS","CHECK")</x:f>
        <x:v>PASS</x:v>
      </x:c>
    </x:row>
    <x:row r="7">
      <x:c r="A7" t="str">
        <x:f>'Raw Data'!A7</x:f>
        <x:v>BW-PB-CREAM-400</x:v>
      </x:c>
      <x:c r="B7" t="str">
        <x:f>'Raw Data'!C7</x:f>
        <x:v>Paperback</x:v>
      </x:c>
      <x:c r="C7" t="str">
        <x:f>'Raw Data'!D7</x:f>
        <x:v>Black &amp; white</x:v>
      </x:c>
      <x:c r="D7" t="str">
        <x:f>'Raw Data'!E7</x:f>
        <x:v>Cream paper</x:v>
      </x:c>
      <x:c r="E7" t="n">
        <x:f>'Raw Data'!H7</x:f>
        <x:v>6</x:v>
      </x:c>
      <x:c r="F7" t="n">
        <x:f>'Raw Data'!I7</x:f>
        <x:v>9</x:v>
      </x:c>
      <x:c r="G7" t="n">
        <x:f>'Raw Data'!J7</x:f>
        <x:v>400</x:v>
      </x:c>
      <x:c r="H7" t="n">
        <x:f>'Raw Data'!Y7</x:f>
        <x:v>1</x:v>
      </x:c>
      <x:c r="I7" t="n">
        <x:f>G7*IF(C7="Premium color",Coefficients!$B$4,IF(D7="Cream paper",Coefficients!$B$3,Coefficients!$B$2))+IF(B7="Hardcover",Coefficients!$B$9,0)</x:f>
        <x:v>1</x:v>
      </x:c>
      <x:c r="J7" t="n">
        <x:f>I7-H7</x:f>
        <x:v>0</x:v>
      </x:c>
      <x:c r="K7" t="n">
        <x:f>'Raw Data'!K7</x:f>
        <x:v>13.25</x:v>
      </x:c>
      <x:c r="L7" t="n">
        <x:f>IF(B7="Paperback",2*E7+I7+2*Coefficients!$B$5,2*E7+I7+2*Coefficients!$B$7+2*Coefficients!$B$8)</x:f>
        <x:v>13.25</x:v>
      </x:c>
      <x:c r="M7" t="n">
        <x:f>L7-K7</x:f>
        <x:v>0</x:v>
      </x:c>
      <x:c r="N7" t="n">
        <x:f>'Raw Data'!L7</x:f>
        <x:v>9.25</x:v>
      </x:c>
      <x:c r="O7" t="n">
        <x:f>IF(B7="Paperback",F7+2*Coefficients!$B$5,F7+2*Coefficients!$B$10)</x:f>
        <x:v>9.25</x:v>
      </x:c>
      <x:c r="P7" t="n">
        <x:f>O7-N7</x:f>
        <x:v>0</x:v>
      </x:c>
      <x:c r="Q7" t="n">
        <x:f>'Raw Data'!M7</x:f>
        <x:v>6</x:v>
      </x:c>
      <x:c r="R7" t="n">
        <x:f>IF(B7="Paperback",E7,E7+Coefficients!$B$8)</x:f>
        <x:v>6</x:v>
      </x:c>
      <x:c r="S7" t="n">
        <x:f>R7-Q7</x:f>
        <x:v>0</x:v>
      </x:c>
      <x:c r="T7" t="n">
        <x:f>'Raw Data'!N7</x:f>
        <x:v>9</x:v>
      </x:c>
      <x:c r="U7" t="n">
        <x:f>IF(B7="Paperback",F7,O7-2*Coefficients!$B$7)</x:f>
        <x:v>9</x:v>
      </x:c>
      <x:c r="V7" t="n">
        <x:f>U7-T7</x:f>
        <x:v>0</x:v>
      </x:c>
      <x:c r="W7" t="n">
        <x:f>'Raw Data'!AA7</x:f>
        <x:v>0.875</x:v>
      </x:c>
      <x:c r="X7" t="n">
        <x:f>MAX(0,I7-2*Coefficients!$B$11)</x:f>
        <x:v>0.875</x:v>
      </x:c>
      <x:c r="Y7" t="n">
        <x:f>X7-W7</x:f>
        <x:v>0</x:v>
      </x:c>
      <x:c r="Z7" t="n">
        <x:f>'Raw Data'!AB7</x:f>
        <x:v>8.75</x:v>
      </x:c>
      <x:c r="AA7" t="n">
        <x:f>IF(B7="Paperback",F7-2*Coefficients!$B$6,U7-2*Coefficients!$B$6)</x:f>
        <x:v>8.75</x:v>
      </x:c>
      <x:c r="AB7" t="n">
        <x:f>AA7-Z7</x:f>
        <x:v>0</x:v>
      </x:c>
      <x:c r="AC7" t="str">
        <x:f>IF(MAX(ABS(J7),ABS(M7),ABS(P7),ABS(S7),ABS(V7),ABS(Y7),ABS(AB7))&lt;=Coefficients!$B$16,"PASS","CHECK")</x:f>
        <x:v>PASS</x:v>
      </x:c>
    </x:row>
    <x:row r="8">
      <x:c r="A8" t="str">
        <x:f>'Raw Data'!A8</x:f>
        <x:v>BW-PB-WHITE-400</x:v>
      </x:c>
      <x:c r="B8" t="str">
        <x:f>'Raw Data'!C8</x:f>
        <x:v>Paperback</x:v>
      </x:c>
      <x:c r="C8" t="str">
        <x:f>'Raw Data'!D8</x:f>
        <x:v>Black &amp; white</x:v>
      </x:c>
      <x:c r="D8" t="str">
        <x:f>'Raw Data'!E8</x:f>
        <x:v>White paper</x:v>
      </x:c>
      <x:c r="E8" t="n">
        <x:f>'Raw Data'!H8</x:f>
        <x:v>6</x:v>
      </x:c>
      <x:c r="F8" t="n">
        <x:f>'Raw Data'!I8</x:f>
        <x:v>9</x:v>
      </x:c>
      <x:c r="G8" t="n">
        <x:f>'Raw Data'!J8</x:f>
        <x:v>400</x:v>
      </x:c>
      <x:c r="H8" t="n">
        <x:f>'Raw Data'!Y8</x:f>
        <x:v>0.901</x:v>
      </x:c>
      <x:c r="I8" t="n">
        <x:f>G8*IF(C8="Premium color",Coefficients!$B$4,IF(D8="Cream paper",Coefficients!$B$3,Coefficients!$B$2))+IF(B8="Hardcover",Coefficients!$B$9,0)</x:f>
        <x:v>0.9008</x:v>
      </x:c>
      <x:c r="J8" t="n">
        <x:f>I8-H8</x:f>
        <x:v>-0.00019999999999997797</x:v>
      </x:c>
      <x:c r="K8" t="n">
        <x:f>'Raw Data'!K8</x:f>
        <x:v>13.151</x:v>
      </x:c>
      <x:c r="L8" t="n">
        <x:f>IF(B8="Paperback",2*E8+I8+2*Coefficients!$B$5,2*E8+I8+2*Coefficients!$B$7+2*Coefficients!$B$8)</x:f>
        <x:v>13.1508</x:v>
      </x:c>
      <x:c r="M8" t="n">
        <x:f>L8-K8</x:f>
        <x:v>-0.00019999999999953388</x:v>
      </x:c>
      <x:c r="N8" t="n">
        <x:f>'Raw Data'!L8</x:f>
        <x:v>9.25</x:v>
      </x:c>
      <x:c r="O8" t="n">
        <x:f>IF(B8="Paperback",F8+2*Coefficients!$B$5,F8+2*Coefficients!$B$10)</x:f>
        <x:v>9.25</x:v>
      </x:c>
      <x:c r="P8" t="n">
        <x:f>O8-N8</x:f>
        <x:v>0</x:v>
      </x:c>
      <x:c r="Q8" t="n">
        <x:f>'Raw Data'!M8</x:f>
        <x:v>6</x:v>
      </x:c>
      <x:c r="R8" t="n">
        <x:f>IF(B8="Paperback",E8,E8+Coefficients!$B$8)</x:f>
        <x:v>6</x:v>
      </x:c>
      <x:c r="S8" t="n">
        <x:f>R8-Q8</x:f>
        <x:v>0</x:v>
      </x:c>
      <x:c r="T8" t="n">
        <x:f>'Raw Data'!N8</x:f>
        <x:v>9</x:v>
      </x:c>
      <x:c r="U8" t="n">
        <x:f>IF(B8="Paperback",F8,O8-2*Coefficients!$B$7)</x:f>
        <x:v>9</x:v>
      </x:c>
      <x:c r="V8" t="n">
        <x:f>U8-T8</x:f>
        <x:v>0</x:v>
      </x:c>
      <x:c r="W8" t="n">
        <x:f>'Raw Data'!AA8</x:f>
        <x:v>0.776</x:v>
      </x:c>
      <x:c r="X8" t="n">
        <x:f>MAX(0,I8-2*Coefficients!$B$11)</x:f>
        <x:v>0.7758</x:v>
      </x:c>
      <x:c r="Y8" t="n">
        <x:f>X8-W8</x:f>
        <x:v>-0.00019999999999997797</x:v>
      </x:c>
      <x:c r="Z8" t="n">
        <x:f>'Raw Data'!AB8</x:f>
        <x:v>8.75</x:v>
      </x:c>
      <x:c r="AA8" t="n">
        <x:f>IF(B8="Paperback",F8-2*Coefficients!$B$6,U8-2*Coefficients!$B$6)</x:f>
        <x:v>8.75</x:v>
      </x:c>
      <x:c r="AB8" t="n">
        <x:f>AA8-Z8</x:f>
        <x:v>0</x:v>
      </x:c>
      <x:c r="AC8" t="str">
        <x:f>IF(MAX(ABS(J8),ABS(M8),ABS(P8),ABS(S8),ABS(V8),ABS(Y8),ABS(AB8))&lt;=Coefficients!$B$16,"PASS","CHECK")</x:f>
        <x:v>PASS</x:v>
      </x:c>
    </x:row>
    <x:row r="9">
      <x:c r="A9" t="str">
        <x:f>'Raw Data'!A9</x:f>
        <x:v>BW-PB-WHITE-076</x:v>
      </x:c>
      <x:c r="B9" t="str">
        <x:f>'Raw Data'!C9</x:f>
        <x:v>Paperback</x:v>
      </x:c>
      <x:c r="C9" t="str">
        <x:f>'Raw Data'!D9</x:f>
        <x:v>Black &amp; white</x:v>
      </x:c>
      <x:c r="D9" t="str">
        <x:f>'Raw Data'!E9</x:f>
        <x:v>White paper</x:v>
      </x:c>
      <x:c r="E9" t="n">
        <x:f>'Raw Data'!H9</x:f>
        <x:v>6</x:v>
      </x:c>
      <x:c r="F9" t="n">
        <x:f>'Raw Data'!I9</x:f>
        <x:v>9</x:v>
      </x:c>
      <x:c r="G9" t="n">
        <x:f>'Raw Data'!J9</x:f>
        <x:v>76</x:v>
      </x:c>
      <x:c r="H9" t="n">
        <x:f>'Raw Data'!Y9</x:f>
        <x:v>0.171</x:v>
      </x:c>
      <x:c r="I9" t="n">
        <x:f>G9*IF(C9="Premium color",Coefficients!$B$4,IF(D9="Cream paper",Coefficients!$B$3,Coefficients!$B$2))+IF(B9="Hardcover",Coefficients!$B$9,0)</x:f>
        <x:v>0.171152</x:v>
      </x:c>
      <x:c r="J9" t="n">
        <x:f>I9-H9</x:f>
        <x:v>0.00015199999999998548</x:v>
      </x:c>
      <x:c r="K9" t="n">
        <x:f>'Raw Data'!K9</x:f>
        <x:v>12.421</x:v>
      </x:c>
      <x:c r="L9" t="n">
        <x:f>IF(B9="Paperback",2*E9+I9+2*Coefficients!$B$5,2*E9+I9+2*Coefficients!$B$7+2*Coefficients!$B$8)</x:f>
        <x:v>12.421152</x:v>
      </x:c>
      <x:c r="M9" t="n">
        <x:f>L9-K9</x:f>
        <x:v>0.00015199999999992997</x:v>
      </x:c>
      <x:c r="N9" t="n">
        <x:f>'Raw Data'!L9</x:f>
        <x:v>9.25</x:v>
      </x:c>
      <x:c r="O9" t="n">
        <x:f>IF(B9="Paperback",F9+2*Coefficients!$B$5,F9+2*Coefficients!$B$10)</x:f>
        <x:v>9.25</x:v>
      </x:c>
      <x:c r="P9" t="n">
        <x:f>O9-N9</x:f>
        <x:v>0</x:v>
      </x:c>
      <x:c r="Q9" t="n">
        <x:f>'Raw Data'!M9</x:f>
        <x:v>6</x:v>
      </x:c>
      <x:c r="R9" t="n">
        <x:f>IF(B9="Paperback",E9,E9+Coefficients!$B$8)</x:f>
        <x:v>6</x:v>
      </x:c>
      <x:c r="S9" t="n">
        <x:f>R9-Q9</x:f>
        <x:v>0</x:v>
      </x:c>
      <x:c r="T9" t="n">
        <x:f>'Raw Data'!N9</x:f>
        <x:v>9</x:v>
      </x:c>
      <x:c r="U9" t="n">
        <x:f>IF(B9="Paperback",F9,O9-2*Coefficients!$B$7)</x:f>
        <x:v>9</x:v>
      </x:c>
      <x:c r="V9" t="n">
        <x:f>U9-T9</x:f>
        <x:v>0</x:v>
      </x:c>
      <x:c r="W9" t="n">
        <x:f>'Raw Data'!AA9</x:f>
        <x:v>0.046</x:v>
      </x:c>
      <x:c r="X9" t="n">
        <x:f>MAX(0,I9-2*Coefficients!$B$11)</x:f>
        <x:v>0.046152</x:v>
      </x:c>
      <x:c r="Y9" t="n">
        <x:f>X9-W9</x:f>
        <x:v>0.00015199999999999936</x:v>
      </x:c>
      <x:c r="Z9" t="n">
        <x:f>'Raw Data'!AB9</x:f>
        <x:v>8.75</x:v>
      </x:c>
      <x:c r="AA9" t="n">
        <x:f>IF(B9="Paperback",F9-2*Coefficients!$B$6,U9-2*Coefficients!$B$6)</x:f>
        <x:v>8.75</x:v>
      </x:c>
      <x:c r="AB9" t="n">
        <x:f>AA9-Z9</x:f>
        <x:v>0</x:v>
      </x:c>
      <x:c r="AC9" t="str">
        <x:f>IF(MAX(ABS(J9),ABS(M9),ABS(P9),ABS(S9),ABS(V9),ABS(Y9),ABS(AB9))&lt;=Coefficients!$B$16,"PASS","CHECK")</x:f>
        <x:v>PASS</x:v>
      </x:c>
    </x:row>
    <x:row r="10">
      <x:c r="A10" t="str">
        <x:f>'Raw Data'!A10</x:f>
        <x:v>PREM-HC-WHITE-076</x:v>
      </x:c>
      <x:c r="B10" t="str">
        <x:f>'Raw Data'!C10</x:f>
        <x:v>Hardcover</x:v>
      </x:c>
      <x:c r="C10" t="str">
        <x:f>'Raw Data'!D10</x:f>
        <x:v>Premium color</x:v>
      </x:c>
      <x:c r="D10" t="str">
        <x:f>'Raw Data'!E10</x:f>
        <x:v>White paper</x:v>
      </x:c>
      <x:c r="E10" t="n">
        <x:f>'Raw Data'!H10</x:f>
        <x:v>6</x:v>
      </x:c>
      <x:c r="F10" t="n">
        <x:f>'Raw Data'!I10</x:f>
        <x:v>9</x:v>
      </x:c>
      <x:c r="G10" t="n">
        <x:f>'Raw Data'!J10</x:f>
        <x:v>76</x:v>
      </x:c>
      <x:c r="H10" t="n">
        <x:f>'Raw Data'!Y10</x:f>
        <x:v>0.367</x:v>
      </x:c>
      <x:c r="I10" t="n">
        <x:f>G10*IF(C10="Premium color",Coefficients!$B$4,IF(D10="Cream paper",Coefficients!$B$3,Coefficients!$B$2))+IF(B10="Hardcover",Coefficients!$B$9,0)</x:f>
        <x:v>0.36737200000000003</x:v>
      </x:c>
      <x:c r="J10" t="n">
        <x:f>I10-H10</x:f>
        <x:v>0.00037200000000003897</x:v>
      </x:c>
      <x:c r="K10" t="n">
        <x:f>'Raw Data'!K10</x:f>
        <x:v>13.942</x:v>
      </x:c>
      <x:c r="L10" t="n">
        <x:f>IF(B10="Paperback",2*E10+I10+2*Coefficients!$B$5,2*E10+I10+2*Coefficients!$B$7+2*Coefficients!$B$8)</x:f>
        <x:v>13.942372</x:v>
      </x:c>
      <x:c r="M10" t="n">
        <x:f>L10-K10</x:f>
        <x:v>0.00037200000000048306</x:v>
      </x:c>
      <x:c r="N10" t="n">
        <x:f>'Raw Data'!L10</x:f>
        <x:v>10.417</x:v>
      </x:c>
      <x:c r="O10" t="n">
        <x:f>IF(B10="Paperback",F10+2*Coefficients!$B$5,F10+2*Coefficients!$B$10)</x:f>
        <x:v>10.417</x:v>
      </x:c>
      <x:c r="P10" t="n">
        <x:f>O10-N10</x:f>
        <x:v>0</x:v>
      </x:c>
      <x:c r="Q10" t="n">
        <x:f>'Raw Data'!M10</x:f>
        <x:v>6.197</x:v>
      </x:c>
      <x:c r="R10" t="n">
        <x:f>IF(B10="Paperback",E10,E10+Coefficients!$B$8)</x:f>
        <x:v>6.197</x:v>
      </x:c>
      <x:c r="S10" t="n">
        <x:f>R10-Q10</x:f>
        <x:v>0</x:v>
      </x:c>
      <x:c r="T10" t="n">
        <x:f>'Raw Data'!N10</x:f>
        <x:v>9.236</x:v>
      </x:c>
      <x:c r="U10" t="n">
        <x:f>IF(B10="Paperback",F10,O10-2*Coefficients!$B$7)</x:f>
        <x:v>9.236</x:v>
      </x:c>
      <x:c r="V10" t="n">
        <x:f>U10-T10</x:f>
        <x:v>0</x:v>
      </x:c>
      <x:c r="W10" t="n">
        <x:f>'Raw Data'!AA10</x:f>
        <x:v>0.242</x:v>
      </x:c>
      <x:c r="X10" t="n">
        <x:f>MAX(0,I10-2*Coefficients!$B$11)</x:f>
        <x:v>0.24237200000000003</x:v>
      </x:c>
      <x:c r="Y10" t="n">
        <x:f>X10-W10</x:f>
        <x:v>0.00037200000000003897</x:v>
      </x:c>
      <x:c r="Z10" t="n">
        <x:f>'Raw Data'!AB10</x:f>
        <x:v>8.986</x:v>
      </x:c>
      <x:c r="AA10" t="n">
        <x:f>IF(B10="Paperback",F10-2*Coefficients!$B$6,U10-2*Coefficients!$B$6)</x:f>
        <x:v>8.986</x:v>
      </x:c>
      <x:c r="AB10" t="n">
        <x:f>AA10-Z10</x:f>
        <x:v>0</x:v>
      </x:c>
      <x:c r="AC10" t="str">
        <x:f>IF(MAX(ABS(J10),ABS(M10),ABS(P10),ABS(S10),ABS(V10),ABS(Y10),ABS(AB10))&lt;=Coefficients!$B$16,"PASS","CHECK")</x:f>
        <x:v>PASS</x:v>
      </x:c>
    </x:row>
    <x:row r="11">
      <x:c r="A11" t="str">
        <x:f>'Raw Data'!A11</x:f>
        <x:v>PREM-HC-WHITE-400</x:v>
      </x:c>
      <x:c r="B11" t="str">
        <x:f>'Raw Data'!C11</x:f>
        <x:v>Hardcover</x:v>
      </x:c>
      <x:c r="C11" t="str">
        <x:f>'Raw Data'!D11</x:f>
        <x:v>Premium color</x:v>
      </x:c>
      <x:c r="D11" t="str">
        <x:f>'Raw Data'!E11</x:f>
        <x:v>White paper</x:v>
      </x:c>
      <x:c r="E11" t="n">
        <x:f>'Raw Data'!H11</x:f>
        <x:v>6</x:v>
      </x:c>
      <x:c r="F11" t="n">
        <x:f>'Raw Data'!I11</x:f>
        <x:v>9</x:v>
      </x:c>
      <x:c r="G11" t="n">
        <x:f>'Raw Data'!J11</x:f>
        <x:v>400</x:v>
      </x:c>
      <x:c r="H11" t="n">
        <x:f>'Raw Data'!Y11</x:f>
        <x:v>1.128</x:v>
      </x:c>
      <x:c r="I11" t="n">
        <x:f>G11*IF(C11="Premium color",Coefficients!$B$4,IF(D11="Cream paper",Coefficients!$B$3,Coefficients!$B$2))+IF(B11="Hardcover",Coefficients!$B$9,0)</x:f>
        <x:v>1.1278000000000001</x:v>
      </x:c>
      <x:c r="J11" t="n">
        <x:f>I11-H11</x:f>
        <x:v>-0.00019999999999975593</x:v>
      </x:c>
      <x:c r="K11" t="n">
        <x:f>'Raw Data'!K11</x:f>
        <x:v>14.703</x:v>
      </x:c>
      <x:c r="L11" t="n">
        <x:f>IF(B11="Paperback",2*E11+I11+2*Coefficients!$B$5,2*E11+I11+2*Coefficients!$B$7+2*Coefficients!$B$8)</x:f>
        <x:v>14.702800000000002</x:v>
      </x:c>
      <x:c r="M11" t="n">
        <x:f>L11-K11</x:f>
        <x:v>-0.00019999999999775753</x:v>
      </x:c>
      <x:c r="N11" t="n">
        <x:f>'Raw Data'!L11</x:f>
        <x:v>10.417</x:v>
      </x:c>
      <x:c r="O11" t="n">
        <x:f>IF(B11="Paperback",F11+2*Coefficients!$B$5,F11+2*Coefficients!$B$10)</x:f>
        <x:v>10.417</x:v>
      </x:c>
      <x:c r="P11" t="n">
        <x:f>O11-N11</x:f>
        <x:v>0</x:v>
      </x:c>
      <x:c r="Q11" t="n">
        <x:f>'Raw Data'!M11</x:f>
        <x:v>6.197</x:v>
      </x:c>
      <x:c r="R11" t="n">
        <x:f>IF(B11="Paperback",E11,E11+Coefficients!$B$8)</x:f>
        <x:v>6.197</x:v>
      </x:c>
      <x:c r="S11" t="n">
        <x:f>R11-Q11</x:f>
        <x:v>0</x:v>
      </x:c>
      <x:c r="T11" t="n">
        <x:f>'Raw Data'!N11</x:f>
        <x:v>9.236</x:v>
      </x:c>
      <x:c r="U11" t="n">
        <x:f>IF(B11="Paperback",F11,O11-2*Coefficients!$B$7)</x:f>
        <x:v>9.236</x:v>
      </x:c>
      <x:c r="V11" t="n">
        <x:f>U11-T11</x:f>
        <x:v>0</x:v>
      </x:c>
      <x:c r="W11" t="n">
        <x:f>'Raw Data'!AA11</x:f>
        <x:v>1.003</x:v>
      </x:c>
      <x:c r="X11" t="n">
        <x:f>MAX(0,I11-2*Coefficients!$B$11)</x:f>
        <x:v>1.0028000000000001</x:v>
      </x:c>
      <x:c r="Y11" t="n">
        <x:f>X11-W11</x:f>
        <x:v>-0.00019999999999975593</x:v>
      </x:c>
      <x:c r="Z11" t="n">
        <x:f>'Raw Data'!AB11</x:f>
        <x:v>8.986</x:v>
      </x:c>
      <x:c r="AA11" t="n">
        <x:f>IF(B11="Paperback",F11-2*Coefficients!$B$6,U11-2*Coefficients!$B$6)</x:f>
        <x:v>8.986</x:v>
      </x:c>
      <x:c r="AB11" t="n">
        <x:f>AA11-Z11</x:f>
        <x:v>0</x:v>
      </x:c>
      <x:c r="AC11" t="str">
        <x:f>IF(MAX(ABS(J11),ABS(M11),ABS(P11),ABS(S11),ABS(V11),ABS(Y11),ABS(AB11))&lt;=Coefficients!$B$16,"PASS","CHECK")</x:f>
        <x:v>PASS</x:v>
      </x:c>
    </x:row>
    <x:row r="12">
      <x:c r="A12" t="str">
        <x:f>'Raw Data'!A12</x:f>
        <x:v>PREM-PB-WHITE-400</x:v>
      </x:c>
      <x:c r="B12" t="str">
        <x:f>'Raw Data'!C12</x:f>
        <x:v>Paperback</x:v>
      </x:c>
      <x:c r="C12" t="str">
        <x:f>'Raw Data'!D12</x:f>
        <x:v>Premium color</x:v>
      </x:c>
      <x:c r="D12" t="str">
        <x:f>'Raw Data'!E12</x:f>
        <x:v>White paper</x:v>
      </x:c>
      <x:c r="E12" t="n">
        <x:f>'Raw Data'!H12</x:f>
        <x:v>6</x:v>
      </x:c>
      <x:c r="F12" t="n">
        <x:f>'Raw Data'!I12</x:f>
        <x:v>9</x:v>
      </x:c>
      <x:c r="G12" t="n">
        <x:f>'Raw Data'!J12</x:f>
        <x:v>400</x:v>
      </x:c>
      <x:c r="H12" t="n">
        <x:f>'Raw Data'!Y12</x:f>
        <x:v>0.939</x:v>
      </x:c>
      <x:c r="I12" t="n">
        <x:f>G12*IF(C12="Premium color",Coefficients!$B$4,IF(D12="Cream paper",Coefficients!$B$3,Coefficients!$B$2))+IF(B12="Hardcover",Coefficients!$B$9,0)</x:f>
        <x:v>0.9388000000000001</x:v>
      </x:c>
      <x:c r="J12" t="n">
        <x:f>I12-H12</x:f>
        <x:v>-0.00019999999999986695</x:v>
      </x:c>
      <x:c r="K12" t="n">
        <x:f>'Raw Data'!K12</x:f>
        <x:v>13.189</x:v>
      </x:c>
      <x:c r="L12" t="n">
        <x:f>IF(B12="Paperback",2*E12+I12+2*Coefficients!$B$5,2*E12+I12+2*Coefficients!$B$7+2*Coefficients!$B$8)</x:f>
        <x:v>13.1888</x:v>
      </x:c>
      <x:c r="M12" t="n">
        <x:f>L12-K12</x:f>
        <x:v>-0.00019999999999953388</x:v>
      </x:c>
      <x:c r="N12" t="n">
        <x:f>'Raw Data'!L12</x:f>
        <x:v>9.25</x:v>
      </x:c>
      <x:c r="O12" t="n">
        <x:f>IF(B12="Paperback",F12+2*Coefficients!$B$5,F12+2*Coefficients!$B$10)</x:f>
        <x:v>9.25</x:v>
      </x:c>
      <x:c r="P12" t="n">
        <x:f>O12-N12</x:f>
        <x:v>0</x:v>
      </x:c>
      <x:c r="Q12" t="n">
        <x:f>'Raw Data'!M12</x:f>
        <x:v>6</x:v>
      </x:c>
      <x:c r="R12" t="n">
        <x:f>IF(B12="Paperback",E12,E12+Coefficients!$B$8)</x:f>
        <x:v>6</x:v>
      </x:c>
      <x:c r="S12" t="n">
        <x:f>R12-Q12</x:f>
        <x:v>0</x:v>
      </x:c>
      <x:c r="T12" t="n">
        <x:f>'Raw Data'!N12</x:f>
        <x:v>9</x:v>
      </x:c>
      <x:c r="U12" t="n">
        <x:f>IF(B12="Paperback",F12,O12-2*Coefficients!$B$7)</x:f>
        <x:v>9</x:v>
      </x:c>
      <x:c r="V12" t="n">
        <x:f>U12-T12</x:f>
        <x:v>0</x:v>
      </x:c>
      <x:c r="W12" t="n">
        <x:f>'Raw Data'!AA12</x:f>
        <x:v>0.814</x:v>
      </x:c>
      <x:c r="X12" t="n">
        <x:f>MAX(0,I12-2*Coefficients!$B$11)</x:f>
        <x:v>0.8138000000000001</x:v>
      </x:c>
      <x:c r="Y12" t="n">
        <x:f>X12-W12</x:f>
        <x:v>-0.00019999999999986695</x:v>
      </x:c>
      <x:c r="Z12" t="n">
        <x:f>'Raw Data'!AB12</x:f>
        <x:v>8.75</x:v>
      </x:c>
      <x:c r="AA12" t="n">
        <x:f>IF(B12="Paperback",F12-2*Coefficients!$B$6,U12-2*Coefficients!$B$6)</x:f>
        <x:v>8.75</x:v>
      </x:c>
      <x:c r="AB12" t="n">
        <x:f>AA12-Z12</x:f>
        <x:v>0</x:v>
      </x:c>
      <x:c r="AC12" t="str">
        <x:f>IF(MAX(ABS(J12),ABS(M12),ABS(P12),ABS(S12),ABS(V12),ABS(Y12),ABS(AB12))&lt;=Coefficients!$B$16,"PASS","CHECK")</x:f>
        <x:v>PASS</x:v>
      </x:c>
    </x:row>
    <x:row r="13">
      <x:c r="A13" t="str">
        <x:f>'Raw Data'!A13</x:f>
        <x:v>PREM-PB-WHITE-076</x:v>
      </x:c>
      <x:c r="B13" t="str">
        <x:f>'Raw Data'!C13</x:f>
        <x:v>Paperback</x:v>
      </x:c>
      <x:c r="C13" t="str">
        <x:f>'Raw Data'!D13</x:f>
        <x:v>Premium color</x:v>
      </x:c>
      <x:c r="D13" t="str">
        <x:f>'Raw Data'!E13</x:f>
        <x:v>White paper</x:v>
      </x:c>
      <x:c r="E13" t="n">
        <x:f>'Raw Data'!H13</x:f>
        <x:v>6</x:v>
      </x:c>
      <x:c r="F13" t="n">
        <x:f>'Raw Data'!I13</x:f>
        <x:v>9</x:v>
      </x:c>
      <x:c r="G13" t="n">
        <x:f>'Raw Data'!J13</x:f>
        <x:v>76</x:v>
      </x:c>
      <x:c r="H13" t="n">
        <x:f>'Raw Data'!Y13</x:f>
        <x:v>0.178</x:v>
      </x:c>
      <x:c r="I13" t="n">
        <x:f>G13*IF(C13="Premium color",Coefficients!$B$4,IF(D13="Cream paper",Coefficients!$B$3,Coefficients!$B$2))+IF(B13="Hardcover",Coefficients!$B$9,0)</x:f>
        <x:v>0.178372</x:v>
      </x:c>
      <x:c r="J13" t="n">
        <x:f>I13-H13</x:f>
        <x:v>0.0003720000000000112</x:v>
      </x:c>
      <x:c r="K13" t="n">
        <x:f>'Raw Data'!K13</x:f>
        <x:v>12.428</x:v>
      </x:c>
      <x:c r="L13" t="n">
        <x:f>IF(B13="Paperback",2*E13+I13+2*Coefficients!$B$5,2*E13+I13+2*Coefficients!$B$7+2*Coefficients!$B$8)</x:f>
        <x:v>12.428372</x:v>
      </x:c>
      <x:c r="M13" t="n">
        <x:f>L13-K13</x:f>
        <x:v>0.0003719999999987067</x:v>
      </x:c>
      <x:c r="N13" t="n">
        <x:f>'Raw Data'!L13</x:f>
        <x:v>9.25</x:v>
      </x:c>
      <x:c r="O13" t="n">
        <x:f>IF(B13="Paperback",F13+2*Coefficients!$B$5,F13+2*Coefficients!$B$10)</x:f>
        <x:v>9.25</x:v>
      </x:c>
      <x:c r="P13" t="n">
        <x:f>O13-N13</x:f>
        <x:v>0</x:v>
      </x:c>
      <x:c r="Q13" t="n">
        <x:f>'Raw Data'!M13</x:f>
        <x:v>6</x:v>
      </x:c>
      <x:c r="R13" t="n">
        <x:f>IF(B13="Paperback",E13,E13+Coefficients!$B$8)</x:f>
        <x:v>6</x:v>
      </x:c>
      <x:c r="S13" t="n">
        <x:f>R13-Q13</x:f>
        <x:v>0</x:v>
      </x:c>
      <x:c r="T13" t="n">
        <x:f>'Raw Data'!N13</x:f>
        <x:v>9</x:v>
      </x:c>
      <x:c r="U13" t="n">
        <x:f>IF(B13="Paperback",F13,O13-2*Coefficients!$B$7)</x:f>
        <x:v>9</x:v>
      </x:c>
      <x:c r="V13" t="n">
        <x:f>U13-T13</x:f>
        <x:v>0</x:v>
      </x:c>
      <x:c r="W13" t="n">
        <x:f>'Raw Data'!AA13</x:f>
        <x:v>0.053</x:v>
      </x:c>
      <x:c r="X13" t="n">
        <x:f>MAX(0,I13-2*Coefficients!$B$11)</x:f>
        <x:v>0.053372</x:v>
      </x:c>
      <x:c r="Y13" t="n">
        <x:f>X13-W13</x:f>
        <x:v>0.00037200000000000427</x:v>
      </x:c>
      <x:c r="Z13" t="n">
        <x:f>'Raw Data'!AB13</x:f>
        <x:v>8.75</x:v>
      </x:c>
      <x:c r="AA13" t="n">
        <x:f>IF(B13="Paperback",F13-2*Coefficients!$B$6,U13-2*Coefficients!$B$6)</x:f>
        <x:v>8.75</x:v>
      </x:c>
      <x:c r="AB13" t="n">
        <x:f>AA13-Z13</x:f>
        <x:v>0</x:v>
      </x:c>
      <x:c r="AC13" t="str">
        <x:f>IF(MAX(ABS(J13),ABS(M13),ABS(P13),ABS(S13),ABS(V13),ABS(Y13),ABS(AB13))&lt;=Coefficients!$B$16,"PASS","CHECK")</x:f>
        <x:v>PASS</x:v>
      </x:c>
    </x:row>
  </x:sheetData>
  <x:conditionalFormatting sqref="AC2:AC13">
    <x:cfRule type="expression" dxfId="0" priority="1">
      <x:formula>$AC2="PASS"</x:formula>
    </x:cfRule>
    <x:cfRule type="expression" dxfId="1" priority="2">
      <x:formula>$AC2="CHECK"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a740728a954f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7" t="str">
        <x:v>KDP Cover Calculator Raw Data</x:v>
      </x:c>
    </x:row>
    <x:row r="3">
      <x:c r="A3" s="21" t="str">
        <x:v>Created</x:v>
      </x:c>
      <x:c r="B3" s="24" t="str">
        <x:v>2026-06-10 22:27 UTC</x:v>
      </x:c>
    </x:row>
    <x:row r="4">
      <x:c r="A4" s="21" t="str">
        <x:v>Scope</x:v>
      </x:c>
      <x:c r="B4" s="24" t="str">
        <x:v>KDP 6×9, inches, left-to-right cover calculator captures</x:v>
      </x:c>
    </x:row>
    <x:row r="5">
      <x:c r="A5" s="21" t="str">
        <x:v>Validated interiors</x:v>
      </x:c>
      <x:c r="B5" s="24" t="str">
        <x:v>Black &amp; white; Premium color</x:v>
      </x:c>
    </x:row>
    <x:row r="6">
      <x:c r="A6" s="21" t="str">
        <x:v>Validated paper types</x:v>
      </x:c>
      <x:c r="B6" s="24" t="str">
        <x:v>B&amp;W: white and cream; premium color: white only</x:v>
      </x:c>
    </x:row>
    <x:row r="7">
      <x:c r="A7" s="21" t="str">
        <x:v>Validation tolerance</x:v>
      </x:c>
      <x:c r="B7" s="24" t="str">
        <x:v>0.001 inch</x:v>
      </x:c>
    </x:row>
    <x:row r="8">
      <x:c r="A8" s="21" t="str">
        <x:v>Source</x:v>
      </x:c>
      <x:c r="B8" s="24" t="str">
        <x:v>Manual KDP calculator screenshots supplied in this ChatGPT conversation</x:v>
      </x:c>
    </x:row>
    <x:row r="9">
      <x:c r="A9" s="21" t="str">
        <x:v>Enhancement note</x:v>
      </x:c>
      <x:c r="B9" s="24" t="str">
        <x:v>Add new screenshot rows to Raw Data, then extend Coefficients and Validation if KDP adds new interior/paper combinations.</x:v>
      </x:c>
    </x:row>
  </x:sheetData>
  <x:pageMargins left="0.7" right="0.7" top="0.75" bottom="0.75" header="0.3" footer="0.3"/>
</x:worksheet>
</file>